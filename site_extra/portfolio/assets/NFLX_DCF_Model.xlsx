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Inputs" sheetId="2" state="visible" r:id="rId4"/>
    <sheet name="Historical" sheetId="3" state="visible" r:id="rId5"/>
    <sheet name="Forecast" sheetId="4" state="visible" r:id="rId6"/>
    <sheet name="WACC" sheetId="5" state="visible" r:id="rId7"/>
    <sheet name="DCF" sheetId="6" state="visible" r:id="rId8"/>
    <sheet name="Sensitivity" sheetId="7" state="visible" r:id="rId9"/>
    <sheet name="Sources"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<sst xmlns="http://schemas.openxmlformats.org/spreadsheetml/2006/main" count="272" uniqueCount="225">
  <si>
    <t xml:space="preserve">Netflix, Inc. DCF: read me first</t>
  </si>
  <si>
    <t xml:space="preserve">Netflix, Inc. (NASDAQ: NFLX). USD millions unless labelled. Blue = input, black = formula, green = link to another sheet. Same template as the Skydance model.</t>
  </si>
  <si>
    <t xml:space="preserve">What this is: a discounted cash flow model of Netflix built on the same template as the Skydance model, so the two compare line by line.</t>
  </si>
  <si>
    <t xml:space="preserve">EBITDA here is operating income plus property depreciation. Content amortization stays inside operating costs, and the gap between cash content spend and amortization sits in the working capital and content line, which is how Netflix itself frames it.</t>
  </si>
  <si>
    <t xml:space="preserve">Built October 24, 2026 from Netflix's Q3 2026 shareholder letter, the Q4 2025 letter, the July 2026 note prospectus and market data as of the October 23 close.</t>
  </si>
  <si>
    <t xml:space="preserve">Use: change blue cells on Inputs. Scenario switch in Inputs!C5. Not a recommendation.</t>
  </si>
  <si>
    <t xml:space="preserve">Biggest judgments: how long double digit revenue growth lasts, how far the operating margin keeps rising, and the exit multiple on a company the market prices at about 17 times EBITDA.</t>
  </si>
  <si>
    <t xml:space="preserve">Inputs and scenarios</t>
  </si>
  <si>
    <t xml:space="preserve">Scenario selector</t>
  </si>
  <si>
    <t xml:space="preserve">Active scenario (1 Base, 2 Bear, 3 Bull)</t>
  </si>
  <si>
    <t xml:space="preserve">Active scenario name</t>
  </si>
  <si>
    <t xml:space="preserve">Base year FY2025 (USD m)</t>
  </si>
  <si>
    <t xml:space="preserve">Value</t>
  </si>
  <si>
    <t xml:space="preserve">Source</t>
  </si>
  <si>
    <t xml:space="preserve">Revenue FY2025</t>
  </si>
  <si>
    <t xml:space="preserve">Q4 2025 shareholder letter [2]</t>
  </si>
  <si>
    <t xml:space="preserve">Operating income FY2025</t>
  </si>
  <si>
    <t xml:space="preserve">[2]</t>
  </si>
  <si>
    <t xml:space="preserve">Property D and A FY2025</t>
  </si>
  <si>
    <t xml:space="preserve">Adjusted EBITDA FY2025, operating income plus property D and A</t>
  </si>
  <si>
    <t xml:space="preserve">Derived from [2]</t>
  </si>
  <si>
    <t xml:space="preserve">Free cash flow FY2025</t>
  </si>
  <si>
    <t xml:space="preserve">Cash content spend over amortization FY2025</t>
  </si>
  <si>
    <t xml:space="preserve">Revenue build, 2026E (USD m)</t>
  </si>
  <si>
    <t xml:space="preserve">Subscription and other revenue</t>
  </si>
  <si>
    <t xml:space="preserve">FY2026 revenue guidance of about 51,100 [1] less advertising</t>
  </si>
  <si>
    <t xml:space="preserve">Advertising revenue</t>
  </si>
  <si>
    <t xml:space="preserve">FY2026 advertising guidance, cut from about 3,000 on October 20, 2026 [1]</t>
  </si>
  <si>
    <t xml:space="preserve">Total 2026E revenue</t>
  </si>
  <si>
    <t xml:space="preserve">Check: FY2026 guidance is about 51,100 [1]</t>
  </si>
  <si>
    <t xml:space="preserve">Drivers by scenario</t>
  </si>
  <si>
    <t xml:space="preserve">2026E</t>
  </si>
  <si>
    <t xml:space="preserve">2027E</t>
  </si>
  <si>
    <t xml:space="preserve">2028E</t>
  </si>
  <si>
    <t xml:space="preserve">2029E</t>
  </si>
  <si>
    <t xml:space="preserve">2030E</t>
  </si>
  <si>
    <t xml:space="preserve">2031E</t>
  </si>
  <si>
    <t xml:space="preserve">Note</t>
  </si>
  <si>
    <t xml:space="preserve">Subscription growth: Base</t>
  </si>
  <si>
    <t xml:space="preserve">2026 revenue grew about 13 percent [1]. Base fades as price increases and member growth slow.</t>
  </si>
  <si>
    <t xml:space="preserve">Subscription growth: Bear</t>
  </si>
  <si>
    <t xml:space="preserve">Subscription growth: Bull</t>
  </si>
  <si>
    <t xml:space="preserve">Subscription growth: ACTIVE</t>
  </si>
  <si>
    <t xml:space="preserve">Advertising growth: Base</t>
  </si>
  <si>
    <t xml:space="preserve">Ad revenue about 2,700 in 2026, roughly doubling off 2025, with 15 new countries in 2027 [1][2].</t>
  </si>
  <si>
    <t xml:space="preserve">Advertising growth: Bear</t>
  </si>
  <si>
    <t xml:space="preserve">Advertising growth: Bull</t>
  </si>
  <si>
    <t xml:space="preserve">Advertising growth: ACTIVE</t>
  </si>
  <si>
    <t xml:space="preserve">Underlying EBITDA margin: Base</t>
  </si>
  <si>
    <t xml:space="preserve">2026 operating margin guidance 31.5 percent [1] plus about 0.7 points of property D and A. Base keeps the margin expanding at about one point a year.</t>
  </si>
  <si>
    <t xml:space="preserve">Underlying EBITDA margin: Bear</t>
  </si>
  <si>
    <t xml:space="preserve">Underlying EBITDA margin: Bull</t>
  </si>
  <si>
    <t xml:space="preserve">Underlying EBITDA margin: ACTIVE</t>
  </si>
  <si>
    <t xml:space="preserve">Other EBITDA items: Base</t>
  </si>
  <si>
    <t xml:space="preserve">No synergy or cost program line for Netflix.</t>
  </si>
  <si>
    <t xml:space="preserve">Other EBITDA items: Bear</t>
  </si>
  <si>
    <t xml:space="preserve">Other EBITDA items: Bull</t>
  </si>
  <si>
    <t xml:space="preserve">Other EBITDA items: ACTIVE</t>
  </si>
  <si>
    <t xml:space="preserve">Stock based compensation: Base</t>
  </si>
  <si>
    <t xml:space="preserve">SBC 368 in FY2025 [2], treated as a real cost.</t>
  </si>
  <si>
    <t xml:space="preserve">Stock based compensation: Bear</t>
  </si>
  <si>
    <t xml:space="preserve">Stock based compensation: Bull</t>
  </si>
  <si>
    <t xml:space="preserve">Stock based compensation: ACTIVE</t>
  </si>
  <si>
    <t xml:space="preserve">Cash restructuring and one offs: Base</t>
  </si>
  <si>
    <t xml:space="preserve">Headcount reductions in Q4 2026 cost about 120 bps of Q4 margin [1], already in the margin.</t>
  </si>
  <si>
    <t xml:space="preserve">Cash restructuring and one offs: Bear</t>
  </si>
  <si>
    <t xml:space="preserve">Cash restructuring and one offs: Bull</t>
  </si>
  <si>
    <t xml:space="preserve">Cash restructuring and one offs: ACTIVE</t>
  </si>
  <si>
    <t xml:space="preserve">Capex as percent of revenue: Base</t>
  </si>
  <si>
    <t xml:space="preserve">Capex 688 on 45,183 in FY2025 [2], about 1.5 percent.</t>
  </si>
  <si>
    <t xml:space="preserve">Capex as percent of revenue: Bear</t>
  </si>
  <si>
    <t xml:space="preserve">Capex as percent of revenue: Bull</t>
  </si>
  <si>
    <t xml:space="preserve">Capex as percent of revenue: ACTIVE</t>
  </si>
  <si>
    <t xml:space="preserve">Working capital and content investment, percent of revenue: Base</t>
  </si>
  <si>
    <t xml:space="preserve">Cash content spend runs about 1.1 times amortization [1]. The excess, about 1,700 a year on 17,000 of spend, is about 3.3 percent of revenue, fading as spend growth slows.</t>
  </si>
  <si>
    <t xml:space="preserve">Working capital and content investment, percent of revenue: Bear</t>
  </si>
  <si>
    <t xml:space="preserve">Working capital and content investment, percent of revenue: Bull</t>
  </si>
  <si>
    <t xml:space="preserve">Working capital and content investment, percent of revenue: ACTIVE</t>
  </si>
  <si>
    <t xml:space="preserve">Tax D and A: Base</t>
  </si>
  <si>
    <t xml:space="preserve">Property D and A only, 333 in FY2025 [2]. Content amortization is already inside EBITDA here.</t>
  </si>
  <si>
    <t xml:space="preserve">Tax D and A: Bear</t>
  </si>
  <si>
    <t xml:space="preserve">Tax D and A: Bull</t>
  </si>
  <si>
    <t xml:space="preserve">Tax D and A: ACTIVE</t>
  </si>
  <si>
    <t xml:space="preserve">Valuation and market inputs</t>
  </si>
  <si>
    <t xml:space="preserve">Share price ($)</t>
  </si>
  <si>
    <t xml:space="preserve">October 23, 2026 close [6]</t>
  </si>
  <si>
    <t xml:space="preserve">Shares outstanding (millions)</t>
  </si>
  <si>
    <t xml:space="preserve">Estimate from market cap over price; the 10-Q cover count was not retrievable. Q3 diluted weighted average 4,195 [1]. Flagged.</t>
  </si>
  <si>
    <t xml:space="preserve">Gross debt</t>
  </si>
  <si>
    <t xml:space="preserve">Gross principal at September 30, 2026 [1]</t>
  </si>
  <si>
    <t xml:space="preserve">Cash</t>
  </si>
  <si>
    <t xml:space="preserve">September 30, 2026 [1]</t>
  </si>
  <si>
    <t xml:space="preserve">Noncontrolling interests and other claims</t>
  </si>
  <si>
    <t xml:space="preserve">None</t>
  </si>
  <si>
    <t xml:space="preserve">Stub fraction of first forecast year remaining</t>
  </si>
  <si>
    <t xml:space="preserve">October 24 to December 31, 2026</t>
  </si>
  <si>
    <t xml:space="preserve">Long term growth rate</t>
  </si>
  <si>
    <t xml:space="preserve">Above the Skydance 1.5 percent because Netflix is still growing double digits. Analyst input.</t>
  </si>
  <si>
    <t xml:space="preserve">Exit multiple, EV to EBITDA</t>
  </si>
  <si>
    <t xml:space="preserve">Below the market's roughly 17 times, since growth is slower by 2031. Analyst input.</t>
  </si>
  <si>
    <t xml:space="preserve">Cash tax rate</t>
  </si>
  <si>
    <t xml:space="preserve">Same 23 percent in all five models. Statutory 21 federal plus state; company effective rates in the research file.</t>
  </si>
  <si>
    <t xml:space="preserve">Historical results</t>
  </si>
  <si>
    <t xml:space="preserve">USD millions</t>
  </si>
  <si>
    <t xml:space="preserve">FY2024</t>
  </si>
  <si>
    <t xml:space="preserve">FY2025</t>
  </si>
  <si>
    <t xml:space="preserve">9M 2026</t>
  </si>
  <si>
    <t xml:space="preserve">Revenue</t>
  </si>
  <si>
    <t xml:space="preserve">[2][1]</t>
  </si>
  <si>
    <t xml:space="preserve">Operating income</t>
  </si>
  <si>
    <t xml:space="preserve">Operating margin</t>
  </si>
  <si>
    <t xml:space="preserve">Cash content spend</t>
  </si>
  <si>
    <t xml:space="preserve">Content amortization</t>
  </si>
  <si>
    <t xml:space="preserve">Stock based compensation</t>
  </si>
  <si>
    <t xml:space="preserve">Capital expenditures</t>
  </si>
  <si>
    <t xml:space="preserve">Free cash flow</t>
  </si>
  <si>
    <t xml:space="preserve">Net debt, period end</t>
  </si>
  <si>
    <t xml:space="preserve">Q1 2026 net income and FCF include the 2,870 termination fee Warner Bros. Discovery paid when Netflix walked away from that deal in February 2026 [8]. Excluded from run rate.</t>
  </si>
  <si>
    <t xml:space="preserve">Forecast</t>
  </si>
  <si>
    <t xml:space="preserve">Subscription and other revenue revenue</t>
  </si>
  <si>
    <t xml:space="preserve">Advertising revenue revenue</t>
  </si>
  <si>
    <t xml:space="preserve">Total revenue</t>
  </si>
  <si>
    <t xml:space="preserve">Revenue growth</t>
  </si>
  <si>
    <t xml:space="preserve">Underlying EBITDA before other items</t>
  </si>
  <si>
    <t xml:space="preserve">Other EBITDA items (synergies, cost programs)</t>
  </si>
  <si>
    <t xml:space="preserve">Adjusted EBITDA</t>
  </si>
  <si>
    <t xml:space="preserve">Adjusted EBITDA margin</t>
  </si>
  <si>
    <t xml:space="preserve">Less stock based compensation</t>
  </si>
  <si>
    <t xml:space="preserve">Less cash restructuring and integration</t>
  </si>
  <si>
    <t xml:space="preserve">EBITDA after stock comp and one offs</t>
  </si>
  <si>
    <t xml:space="preserve">Less tax depreciation and amortization</t>
  </si>
  <si>
    <t xml:space="preserve">Taxable operating profit</t>
  </si>
  <si>
    <t xml:space="preserve">Cash taxes</t>
  </si>
  <si>
    <t xml:space="preserve">Less capital expenditures</t>
  </si>
  <si>
    <t xml:space="preserve">Less working capital and content investment</t>
  </si>
  <si>
    <t xml:space="preserve">Unlevered free cash flow</t>
  </si>
  <si>
    <t xml:space="preserve">Conversion, unlevered FCF over adjusted EBITDA</t>
  </si>
  <si>
    <t xml:space="preserve">FY2026 FCF guidance is about 12,000 after interest and including the termination fee [1]. Unlevered FCF here excludes the fee and adds back after tax interest.</t>
  </si>
  <si>
    <t xml:space="preserve">Cost of capital</t>
  </si>
  <si>
    <t xml:space="preserve">Input or step</t>
  </si>
  <si>
    <t xml:space="preserve">Basis</t>
  </si>
  <si>
    <t xml:space="preserve">Risk free rate, 10 year Treasury, October 22, 2026</t>
  </si>
  <si>
    <t xml:space="preserve">Mortgage News Daily, 4.954 percent on October 22, 2026. Same in all five models.</t>
  </si>
  <si>
    <t xml:space="preserve">Equity risk premium</t>
  </si>
  <si>
    <t xml:space="preserve">Analyst input, 4.5 percent in all five models.</t>
  </si>
  <si>
    <t xml:space="preserve">Unlevered beta</t>
  </si>
  <si>
    <t xml:space="preserve">Quoted beta 1.61 [6] with almost no leverage. Taken at face value it gives a WACC near 11.6 percent and a perpetuity value near 42. I use 1.2, which is closer to the five year regression most desks use. Analyst input.</t>
  </si>
  <si>
    <t xml:space="preserve">Market value of equity</t>
  </si>
  <si>
    <t xml:space="preserve">Price times shares</t>
  </si>
  <si>
    <t xml:space="preserve">Net debt</t>
  </si>
  <si>
    <t xml:space="preserve">Latest balance sheet</t>
  </si>
  <si>
    <t xml:space="preserve">Debt to equity</t>
  </si>
  <si>
    <t xml:space="preserve">Tax rate</t>
  </si>
  <si>
    <t xml:space="preserve">Levered beta</t>
  </si>
  <si>
    <t xml:space="preserve">Hamada relevering</t>
  </si>
  <si>
    <t xml:space="preserve">Cost of equity</t>
  </si>
  <si>
    <t xml:space="preserve">CAPM</t>
  </si>
  <si>
    <t xml:space="preserve">Pre tax cost of debt</t>
  </si>
  <si>
    <t xml:space="preserve">5.250 percent notes due 2036 priced at 5.346 percent in July 2026 [4]. A2 and A rated.</t>
  </si>
  <si>
    <t xml:space="preserve">After tax cost of debt</t>
  </si>
  <si>
    <t xml:space="preserve">Weight of equity</t>
  </si>
  <si>
    <t xml:space="preserve">Market weights at the latest close</t>
  </si>
  <si>
    <t xml:space="preserve">Weight of debt</t>
  </si>
  <si>
    <t xml:space="preserve">WACC</t>
  </si>
  <si>
    <t xml:space="preserve">Net cash companies: when net debt is below zero the debt weight is zero and the WACC equals the cost of equity on the equity weight above 100 percent; the formulas handle that but read the weights.</t>
  </si>
  <si>
    <t xml:space="preserve">Discounted cash flow</t>
  </si>
  <si>
    <t xml:space="preserve">Fraction of year included</t>
  </si>
  <si>
    <t xml:space="preserve">Cash flow included</t>
  </si>
  <si>
    <t xml:space="preserve">Discount period, years from valuation date, mid year</t>
  </si>
  <si>
    <t xml:space="preserve">Discount factor</t>
  </si>
  <si>
    <t xml:space="preserve">Present value</t>
  </si>
  <si>
    <t xml:space="preserve">Terminal value, perpetuity growth method</t>
  </si>
  <si>
    <t xml:space="preserve">Long term growth</t>
  </si>
  <si>
    <t xml:space="preserve">Terminal year cash flow, grown one year</t>
  </si>
  <si>
    <t xml:space="preserve">Terminal value at end of forecast</t>
  </si>
  <si>
    <t xml:space="preserve">Discount factor, end of forecast</t>
  </si>
  <si>
    <t xml:space="preserve">Present value of terminal value</t>
  </si>
  <si>
    <t xml:space="preserve">Implied exit multiple of final year EBITDA</t>
  </si>
  <si>
    <t xml:space="preserve">Terminal value, exit multiple method</t>
  </si>
  <si>
    <t xml:space="preserve">Exit multiple</t>
  </si>
  <si>
    <t xml:space="preserve">Implied perpetuity growth</t>
  </si>
  <si>
    <t xml:space="preserve">Enterprise value and bridge to equity</t>
  </si>
  <si>
    <t xml:space="preserve">Perpetuity</t>
  </si>
  <si>
    <t xml:space="preserve">Sum of present value of forecast cash flows</t>
  </si>
  <si>
    <t xml:space="preserve">Enterprise value</t>
  </si>
  <si>
    <t xml:space="preserve">Terminal value share of enterprise value</t>
  </si>
  <si>
    <t xml:space="preserve">Less net debt</t>
  </si>
  <si>
    <t xml:space="preserve">Less noncontrolling interests and other claims</t>
  </si>
  <si>
    <t xml:space="preserve">Equity value</t>
  </si>
  <si>
    <t xml:space="preserve">Shares outstanding, millions</t>
  </si>
  <si>
    <t xml:space="preserve">Implied value per share</t>
  </si>
  <si>
    <t xml:space="preserve">Model output under stated assumptions, not a recommendation.</t>
  </si>
  <si>
    <t xml:space="preserve">Market price</t>
  </si>
  <si>
    <t xml:space="preserve">Model value over market price</t>
  </si>
  <si>
    <t xml:space="preserve">Market enterprise value for reference</t>
  </si>
  <si>
    <t xml:space="preserve">Market EV to 2026E adjusted EBITDA</t>
  </si>
  <si>
    <t xml:space="preserve">Model EV to 2026E adjusted EBITDA</t>
  </si>
  <si>
    <t xml:space="preserve">Sensitivity of implied value per share</t>
  </si>
  <si>
    <t xml:space="preserve">Perpetuity growth method: WACC down, long term growth across. Value per share, $.</t>
  </si>
  <si>
    <t xml:space="preserve">WACC \ growth</t>
  </si>
  <si>
    <t xml:space="preserve">Exit multiple method: WACC down, exit EV to EBITDA across. Value per share, $.</t>
  </si>
  <si>
    <t xml:space="preserve">WACC \ multiple</t>
  </si>
  <si>
    <t xml:space="preserve">Scenario summary, values as built. Change Inputs!C5 to see each scenario live.</t>
  </si>
  <si>
    <t xml:space="preserve">Scenario</t>
  </si>
  <si>
    <t xml:space="preserve">2031E EBITDA</t>
  </si>
  <si>
    <t xml:space="preserve">$ per share, perpetuity</t>
  </si>
  <si>
    <t xml:space="preserve">$ per share, exit</t>
  </si>
  <si>
    <t xml:space="preserve">Base</t>
  </si>
  <si>
    <t xml:space="preserve">Bear</t>
  </si>
  <si>
    <t xml:space="preserve">Bull</t>
  </si>
  <si>
    <t xml:space="preserve">Market price for reference</t>
  </si>
  <si>
    <t xml:space="preserve">Street price targets, context only: low 57, average 84.83, high 126 [6].</t>
  </si>
  <si>
    <t xml:space="preserve">Sources</t>
  </si>
  <si>
    <t xml:space="preserve">#</t>
  </si>
  <si>
    <t xml:space="preserve">Netflix Q3 2026 shareholder letter, October 20, 2026. https://ir.netflix.net/</t>
  </si>
  <si>
    <t xml:space="preserve">Netflix Q4 2025 shareholder letter, January 2026. https://ir.netflix.net/</t>
  </si>
  <si>
    <t xml:space="preserve">Netflix Form 10-Q for the quarter ended September 30, 2026. https://www.sec.gov/cgi-bin/browse-edgar?action=getcompany&amp;CIK=0001065280&amp;type=10-Q</t>
  </si>
  <si>
    <t xml:space="preserve">Netflix 424B2 prospectus supplement, 5.250 percent notes due 2036, July 2026. sec.gov</t>
  </si>
  <si>
    <t xml:space="preserve">Netflix 424B2, July 2026, debt ladder as of June 30, 2026. sec.gov</t>
  </si>
  <si>
    <t xml:space="preserve">StockAnalysis and Yahoo Finance, NFLX quote and statistics, October 23, 2026 close.</t>
  </si>
  <si>
    <t xml:space="preserve">Mortgage News Daily, 10 year Treasury yield through October 22, 2026.</t>
  </si>
  <si>
    <t xml:space="preserve">Press coverage of the Warner Bros. Discovery termination fee, February 2026.</t>
  </si>
  <si>
    <t xml:space="preserve">Netflix Form 10-K for fiscal 2025. sec.gov</t>
  </si>
  <si>
    <t xml:space="preserve">Moody's and S&amp;P rating references in the July 2026 term sheet.</t>
  </si>
  <si>
    <t xml:space="preserve">Analyst inputs with no source are labelled as such on the Inputs and WACC sheets. Nothing in this workbook comes from a Bloomberg Terminal or from any employer.</t>
  </si>
</sst>
</file>

<file path=xl/styles.xml><?xml version="1.0" encoding="utf-8"?>
<styleSheet xmlns="http://schemas.openxmlformats.org/spreadsheetml/2006/main">
  <numFmts count="7">
    <numFmt numFmtId="164" formatCode="General"/>
    <numFmt numFmtId="165" formatCode="#,##0;\(#,##0\);\-"/>
    <numFmt numFmtId="166" formatCode="0.0%;\(0.0%\);\-"/>
    <numFmt numFmtId="167" formatCode="\$#,##0.00;&quot;($&quot;#,##0.00\);\-"/>
    <numFmt numFmtId="168" formatCode="0.0\x"/>
    <numFmt numFmtId="169" formatCode="0.00"/>
    <numFmt numFmtId="170" formatCode="0.000"/>
  </numFmts>
  <fonts count="12">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color rgb="FF595959"/>
      <name val="Arial"/>
      <family val="0"/>
      <charset val="1"/>
    </font>
    <font>
      <b val="true"/>
      <sz val="10"/>
      <name val="Arial"/>
      <family val="0"/>
      <charset val="1"/>
    </font>
    <font>
      <sz val="10"/>
      <name val="Arial"/>
      <family val="0"/>
      <charset val="1"/>
    </font>
    <font>
      <sz val="10"/>
      <color rgb="FF0000FF"/>
      <name val="Arial"/>
      <family val="0"/>
      <charset val="1"/>
    </font>
    <font>
      <b val="true"/>
      <sz val="11"/>
      <color rgb="FFFFFFFF"/>
      <name val="Arial"/>
      <family val="0"/>
      <charset val="1"/>
    </font>
    <font>
      <sz val="9"/>
      <color rgb="FF595959"/>
      <name val="Arial"/>
      <family val="0"/>
      <charset val="1"/>
    </font>
    <font>
      <sz val="10"/>
      <color rgb="FF008000"/>
      <name val="Arial"/>
      <family val="0"/>
      <charset val="1"/>
    </font>
  </fonts>
  <fills count="5">
    <fill>
      <patternFill patternType="none"/>
    </fill>
    <fill>
      <patternFill patternType="gray125"/>
    </fill>
    <fill>
      <patternFill patternType="solid">
        <fgColor rgb="FFFFFF00"/>
        <bgColor rgb="FFFFFF00"/>
      </patternFill>
    </fill>
    <fill>
      <patternFill patternType="solid">
        <fgColor rgb="FF0A1628"/>
        <bgColor rgb="FF000000"/>
      </patternFill>
    </fill>
    <fill>
      <patternFill patternType="solid">
        <fgColor rgb="FFF2F2F2"/>
        <bgColor rgb="FFFFFFFF"/>
      </patternFill>
    </fill>
  </fills>
  <borders count="2">
    <border diagonalUp="false" diagonalDown="false">
      <left/>
      <right/>
      <top/>
      <bottom/>
      <diagonal/>
    </border>
    <border diagonalUp="false" diagonalDown="false">
      <left/>
      <right/>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9" fillId="3" borderId="0" xfId="0" applyFont="true" applyBorder="false" applyAlignment="true" applyProtection="false">
      <alignment horizontal="left" vertical="bottom" textRotation="0" wrapText="false" indent="0" shrinkToFit="false"/>
      <protection locked="true" hidden="false"/>
    </xf>
    <xf numFmtId="164" fontId="9" fillId="3" borderId="0" xfId="0" applyFont="true" applyBorder="false" applyAlignment="true" applyProtection="false">
      <alignment horizontal="center"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6" fontId="7" fillId="4" borderId="0" xfId="0" applyFont="true" applyBorder="false" applyAlignment="false" applyProtection="false">
      <alignment horizontal="general" vertical="bottom" textRotation="0" wrapText="false" indent="0" shrinkToFit="false"/>
      <protection locked="true" hidden="false"/>
    </xf>
    <xf numFmtId="165" fontId="7" fillId="4"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9" fontId="8" fillId="0"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6" fontId="7" fillId="2" borderId="0" xfId="0" applyFont="true" applyBorder="false" applyAlignment="false" applyProtection="false">
      <alignment horizontal="general" vertical="bottom" textRotation="0" wrapText="false" indent="0" shrinkToFit="false"/>
      <protection locked="true" hidden="false"/>
    </xf>
    <xf numFmtId="170" fontId="7" fillId="0" borderId="0" xfId="0" applyFont="true" applyBorder="fals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68" fontId="11" fillId="0" borderId="0" xfId="0" applyFont="true" applyBorder="false" applyAlignment="false" applyProtection="false">
      <alignment horizontal="general" vertical="bottom" textRotation="0" wrapText="false" indent="0" shrinkToFit="false"/>
      <protection locked="true" hidden="false"/>
    </xf>
    <xf numFmtId="167" fontId="6" fillId="2" borderId="1" xfId="0" applyFont="true" applyBorder="tru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A1628"/>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row>
    <row r="4" customFormat="false" ht="28.35" hidden="false" customHeight="false" outlineLevel="0" collapsed="false">
      <c r="A4" s="3" t="s">
        <v>2</v>
      </c>
    </row>
    <row r="5" customFormat="false" ht="28.35" hidden="false" customHeight="false" outlineLevel="0" collapsed="false">
      <c r="A5" s="3" t="s">
        <v>3</v>
      </c>
    </row>
    <row r="6" customFormat="false" ht="28.35" hidden="false" customHeight="false" outlineLevel="0" collapsed="false">
      <c r="A6" s="3" t="s">
        <v>4</v>
      </c>
    </row>
    <row r="7" customFormat="false" ht="15" hidden="false" customHeight="false" outlineLevel="0" collapsed="false">
      <c r="A7" s="3" t="s">
        <v>5</v>
      </c>
    </row>
    <row r="8" customFormat="false" ht="28.35" hidden="false" customHeight="false" outlineLevel="0" collapsed="false">
      <c r="A8" s="3" t="s">
        <v>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7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8" min="2" style="0" width="12"/>
    <col collapsed="false" customWidth="true" hidden="false" outlineLevel="0" max="9" min="9" style="0" width="60"/>
  </cols>
  <sheetData>
    <row r="1" customFormat="false" ht="17.35" hidden="false" customHeight="false" outlineLevel="0" collapsed="false">
      <c r="A1" s="1" t="s">
        <v>7</v>
      </c>
    </row>
    <row r="2" customFormat="false" ht="15" hidden="false" customHeight="false" outlineLevel="0" collapsed="false">
      <c r="A2" s="2" t="s">
        <v>1</v>
      </c>
    </row>
    <row r="4" customFormat="false" ht="15" hidden="false" customHeight="false" outlineLevel="0" collapsed="false">
      <c r="A4" s="4" t="s">
        <v>8</v>
      </c>
    </row>
    <row r="5" customFormat="false" ht="15" hidden="false" customHeight="false" outlineLevel="0" collapsed="false">
      <c r="A5" s="5" t="s">
        <v>9</v>
      </c>
      <c r="C5" s="6" t="n">
        <v>1</v>
      </c>
    </row>
    <row r="6" customFormat="false" ht="15" hidden="false" customHeight="false" outlineLevel="0" collapsed="false">
      <c r="A6" s="5" t="s">
        <v>10</v>
      </c>
      <c r="C6" s="5" t="str">
        <f aca="false">CHOOSE(C5,"Base","Bear","Bull")</f>
        <v>Base</v>
      </c>
    </row>
    <row r="8" customFormat="false" ht="15" hidden="false" customHeight="false" outlineLevel="0" collapsed="false">
      <c r="A8" s="7" t="s">
        <v>11</v>
      </c>
      <c r="B8" s="8" t="s">
        <v>12</v>
      </c>
      <c r="C8" s="8"/>
      <c r="D8" s="8"/>
      <c r="E8" s="8"/>
      <c r="F8" s="8"/>
      <c r="G8" s="8"/>
      <c r="H8" s="8"/>
      <c r="I8" s="8" t="s">
        <v>13</v>
      </c>
    </row>
    <row r="9" customFormat="false" ht="15" hidden="false" customHeight="false" outlineLevel="0" collapsed="false">
      <c r="A9" s="5" t="s">
        <v>14</v>
      </c>
      <c r="B9" s="9" t="n">
        <v>45183</v>
      </c>
      <c r="I9" s="10" t="s">
        <v>15</v>
      </c>
    </row>
    <row r="10" customFormat="false" ht="15" hidden="false" customHeight="false" outlineLevel="0" collapsed="false">
      <c r="A10" s="5" t="s">
        <v>16</v>
      </c>
      <c r="B10" s="9" t="n">
        <v>13327</v>
      </c>
      <c r="I10" s="10" t="s">
        <v>17</v>
      </c>
    </row>
    <row r="11" customFormat="false" ht="15" hidden="false" customHeight="false" outlineLevel="0" collapsed="false">
      <c r="A11" s="5" t="s">
        <v>18</v>
      </c>
      <c r="B11" s="9" t="n">
        <v>333</v>
      </c>
      <c r="I11" s="10" t="s">
        <v>17</v>
      </c>
    </row>
    <row r="12" customFormat="false" ht="15" hidden="false" customHeight="false" outlineLevel="0" collapsed="false">
      <c r="A12" s="5" t="s">
        <v>19</v>
      </c>
      <c r="B12" s="9" t="n">
        <v>13660</v>
      </c>
      <c r="I12" s="10" t="s">
        <v>20</v>
      </c>
    </row>
    <row r="13" customFormat="false" ht="15" hidden="false" customHeight="false" outlineLevel="0" collapsed="false">
      <c r="A13" s="5" t="s">
        <v>21</v>
      </c>
      <c r="B13" s="9" t="n">
        <v>9461</v>
      </c>
      <c r="I13" s="10" t="s">
        <v>17</v>
      </c>
    </row>
    <row r="14" customFormat="false" ht="15" hidden="false" customHeight="false" outlineLevel="0" collapsed="false">
      <c r="A14" s="5" t="s">
        <v>22</v>
      </c>
      <c r="B14" s="9" t="n">
        <v>1.04</v>
      </c>
      <c r="I14" s="10" t="s">
        <v>20</v>
      </c>
    </row>
    <row r="16" customFormat="false" ht="15" hidden="false" customHeight="false" outlineLevel="0" collapsed="false">
      <c r="A16" s="7" t="s">
        <v>23</v>
      </c>
      <c r="B16" s="8" t="s">
        <v>12</v>
      </c>
      <c r="C16" s="8"/>
      <c r="D16" s="8"/>
      <c r="E16" s="8"/>
      <c r="F16" s="8"/>
      <c r="G16" s="8"/>
      <c r="H16" s="8"/>
      <c r="I16" s="8" t="s">
        <v>13</v>
      </c>
    </row>
    <row r="17" customFormat="false" ht="15" hidden="false" customHeight="false" outlineLevel="0" collapsed="false">
      <c r="A17" s="5" t="s">
        <v>24</v>
      </c>
      <c r="B17" s="9" t="n">
        <v>48400</v>
      </c>
      <c r="I17" s="10" t="s">
        <v>25</v>
      </c>
    </row>
    <row r="18" customFormat="false" ht="15" hidden="false" customHeight="false" outlineLevel="0" collapsed="false">
      <c r="A18" s="5" t="s">
        <v>26</v>
      </c>
      <c r="B18" s="9" t="n">
        <v>2700</v>
      </c>
      <c r="I18" s="10" t="s">
        <v>27</v>
      </c>
    </row>
    <row r="19" customFormat="false" ht="15" hidden="false" customHeight="false" outlineLevel="0" collapsed="false">
      <c r="A19" s="5" t="s">
        <v>28</v>
      </c>
      <c r="B19" s="11" t="n">
        <f aca="false">SUM(B17:B18)</f>
        <v>51100</v>
      </c>
      <c r="I19" s="10" t="s">
        <v>29</v>
      </c>
    </row>
    <row r="21" customFormat="false" ht="15" hidden="false" customHeight="false" outlineLevel="0" collapsed="false">
      <c r="A21" s="7" t="s">
        <v>30</v>
      </c>
      <c r="B21" s="8" t="s">
        <v>31</v>
      </c>
      <c r="C21" s="8" t="s">
        <v>32</v>
      </c>
      <c r="D21" s="8" t="s">
        <v>33</v>
      </c>
      <c r="E21" s="8" t="s">
        <v>34</v>
      </c>
      <c r="F21" s="8" t="s">
        <v>35</v>
      </c>
      <c r="G21" s="8" t="s">
        <v>36</v>
      </c>
      <c r="H21" s="8"/>
      <c r="I21" s="8"/>
      <c r="J21" s="8" t="s">
        <v>37</v>
      </c>
    </row>
    <row r="22" customFormat="false" ht="15" hidden="false" customHeight="false" outlineLevel="0" collapsed="false">
      <c r="A22" s="5" t="s">
        <v>38</v>
      </c>
      <c r="B22" s="12" t="n">
        <v>0.1</v>
      </c>
      <c r="C22" s="12" t="n">
        <v>0.09</v>
      </c>
      <c r="D22" s="12" t="n">
        <v>0.08</v>
      </c>
      <c r="E22" s="12" t="n">
        <v>0.07</v>
      </c>
      <c r="F22" s="12" t="n">
        <v>0.06</v>
      </c>
      <c r="G22" s="12" t="n">
        <v>0.05</v>
      </c>
      <c r="I22" s="10" t="s">
        <v>39</v>
      </c>
    </row>
    <row r="23" customFormat="false" ht="15" hidden="false" customHeight="false" outlineLevel="0" collapsed="false">
      <c r="A23" s="5" t="s">
        <v>40</v>
      </c>
      <c r="B23" s="12" t="n">
        <v>0.07</v>
      </c>
      <c r="C23" s="12" t="n">
        <v>0.05</v>
      </c>
      <c r="D23" s="12" t="n">
        <v>0.04</v>
      </c>
      <c r="E23" s="12" t="n">
        <v>0.03</v>
      </c>
      <c r="F23" s="12" t="n">
        <v>0.03</v>
      </c>
      <c r="G23" s="12" t="n">
        <v>0.03</v>
      </c>
    </row>
    <row r="24" customFormat="false" ht="15" hidden="false" customHeight="false" outlineLevel="0" collapsed="false">
      <c r="A24" s="5" t="s">
        <v>41</v>
      </c>
      <c r="B24" s="12" t="n">
        <v>0.12</v>
      </c>
      <c r="C24" s="12" t="n">
        <v>0.11</v>
      </c>
      <c r="D24" s="12" t="n">
        <v>0.1</v>
      </c>
      <c r="E24" s="12" t="n">
        <v>0.09</v>
      </c>
      <c r="F24" s="12" t="n">
        <v>0.08</v>
      </c>
      <c r="G24" s="12" t="n">
        <v>0.07</v>
      </c>
    </row>
    <row r="25" customFormat="false" ht="15" hidden="false" customHeight="false" outlineLevel="0" collapsed="false">
      <c r="A25" s="4" t="s">
        <v>42</v>
      </c>
      <c r="B25" s="13" t="n">
        <f aca="false">CHOOSE($C$5,B22,B23,B24)</f>
        <v>0.1</v>
      </c>
      <c r="C25" s="13" t="n">
        <f aca="false">CHOOSE($C$5,C22,C23,C24)</f>
        <v>0.09</v>
      </c>
      <c r="D25" s="13" t="n">
        <f aca="false">CHOOSE($C$5,D22,D23,D24)</f>
        <v>0.08</v>
      </c>
      <c r="E25" s="13" t="n">
        <f aca="false">CHOOSE($C$5,E22,E23,E24)</f>
        <v>0.07</v>
      </c>
      <c r="F25" s="13" t="n">
        <f aca="false">CHOOSE($C$5,F22,F23,F24)</f>
        <v>0.06</v>
      </c>
      <c r="G25" s="13" t="n">
        <f aca="false">CHOOSE($C$5,G22,G23,G24)</f>
        <v>0.05</v>
      </c>
    </row>
    <row r="27" customFormat="false" ht="15" hidden="false" customHeight="false" outlineLevel="0" collapsed="false">
      <c r="A27" s="5" t="s">
        <v>43</v>
      </c>
      <c r="B27" s="12" t="n">
        <v>0.4</v>
      </c>
      <c r="C27" s="12" t="n">
        <v>0.35</v>
      </c>
      <c r="D27" s="12" t="n">
        <v>0.3</v>
      </c>
      <c r="E27" s="12" t="n">
        <v>0.25</v>
      </c>
      <c r="F27" s="12" t="n">
        <v>0.2</v>
      </c>
      <c r="G27" s="12" t="n">
        <v>0.15</v>
      </c>
      <c r="I27" s="10" t="s">
        <v>44</v>
      </c>
    </row>
    <row r="28" customFormat="false" ht="15" hidden="false" customHeight="false" outlineLevel="0" collapsed="false">
      <c r="A28" s="5" t="s">
        <v>45</v>
      </c>
      <c r="B28" s="12" t="n">
        <v>0.25</v>
      </c>
      <c r="C28" s="12" t="n">
        <v>0.2</v>
      </c>
      <c r="D28" s="12" t="n">
        <v>0.15</v>
      </c>
      <c r="E28" s="12" t="n">
        <v>0.12</v>
      </c>
      <c r="F28" s="12" t="n">
        <v>0.1</v>
      </c>
      <c r="G28" s="12" t="n">
        <v>0.08</v>
      </c>
    </row>
    <row r="29" customFormat="false" ht="15" hidden="false" customHeight="false" outlineLevel="0" collapsed="false">
      <c r="A29" s="5" t="s">
        <v>46</v>
      </c>
      <c r="B29" s="12" t="n">
        <v>0.55</v>
      </c>
      <c r="C29" s="12" t="n">
        <v>0.45</v>
      </c>
      <c r="D29" s="12" t="n">
        <v>0.35</v>
      </c>
      <c r="E29" s="12" t="n">
        <v>0.3</v>
      </c>
      <c r="F29" s="12" t="n">
        <v>0.25</v>
      </c>
      <c r="G29" s="12" t="n">
        <v>0.2</v>
      </c>
    </row>
    <row r="30" customFormat="false" ht="15" hidden="false" customHeight="false" outlineLevel="0" collapsed="false">
      <c r="A30" s="4" t="s">
        <v>47</v>
      </c>
      <c r="B30" s="13" t="n">
        <f aca="false">CHOOSE($C$5,B27,B28,B29)</f>
        <v>0.4</v>
      </c>
      <c r="C30" s="13" t="n">
        <f aca="false">CHOOSE($C$5,C27,C28,C29)</f>
        <v>0.35</v>
      </c>
      <c r="D30" s="13" t="n">
        <f aca="false">CHOOSE($C$5,D27,D28,D29)</f>
        <v>0.3</v>
      </c>
      <c r="E30" s="13" t="n">
        <f aca="false">CHOOSE($C$5,E27,E28,E29)</f>
        <v>0.25</v>
      </c>
      <c r="F30" s="13" t="n">
        <f aca="false">CHOOSE($C$5,F27,F28,F29)</f>
        <v>0.2</v>
      </c>
      <c r="G30" s="13" t="n">
        <f aca="false">CHOOSE($C$5,G27,G28,G29)</f>
        <v>0.15</v>
      </c>
    </row>
    <row r="32" customFormat="false" ht="15" hidden="false" customHeight="false" outlineLevel="0" collapsed="false">
      <c r="A32" s="5" t="s">
        <v>48</v>
      </c>
      <c r="B32" s="12" t="n">
        <v>0.322</v>
      </c>
      <c r="C32" s="12" t="n">
        <v>0.335</v>
      </c>
      <c r="D32" s="12" t="n">
        <v>0.345</v>
      </c>
      <c r="E32" s="12" t="n">
        <v>0.352</v>
      </c>
      <c r="F32" s="12" t="n">
        <v>0.358</v>
      </c>
      <c r="G32" s="12" t="n">
        <v>0.362</v>
      </c>
      <c r="I32" s="10" t="s">
        <v>49</v>
      </c>
    </row>
    <row r="33" customFormat="false" ht="15" hidden="false" customHeight="false" outlineLevel="0" collapsed="false">
      <c r="A33" s="5" t="s">
        <v>50</v>
      </c>
      <c r="B33" s="12" t="n">
        <v>0.315</v>
      </c>
      <c r="C33" s="12" t="n">
        <v>0.315</v>
      </c>
      <c r="D33" s="12" t="n">
        <v>0.315</v>
      </c>
      <c r="E33" s="12" t="n">
        <v>0.315</v>
      </c>
      <c r="F33" s="12" t="n">
        <v>0.315</v>
      </c>
      <c r="G33" s="12" t="n">
        <v>0.315</v>
      </c>
    </row>
    <row r="34" customFormat="false" ht="15" hidden="false" customHeight="false" outlineLevel="0" collapsed="false">
      <c r="A34" s="5" t="s">
        <v>51</v>
      </c>
      <c r="B34" s="12" t="n">
        <v>0.325</v>
      </c>
      <c r="C34" s="12" t="n">
        <v>0.345</v>
      </c>
      <c r="D34" s="12" t="n">
        <v>0.36</v>
      </c>
      <c r="E34" s="12" t="n">
        <v>0.37</v>
      </c>
      <c r="F34" s="12" t="n">
        <v>0.38</v>
      </c>
      <c r="G34" s="12" t="n">
        <v>0.39</v>
      </c>
    </row>
    <row r="35" customFormat="false" ht="15" hidden="false" customHeight="false" outlineLevel="0" collapsed="false">
      <c r="A35" s="4" t="s">
        <v>52</v>
      </c>
      <c r="B35" s="13" t="n">
        <f aca="false">CHOOSE($C$5,B32,B33,B34)</f>
        <v>0.322</v>
      </c>
      <c r="C35" s="13" t="n">
        <f aca="false">CHOOSE($C$5,C32,C33,C34)</f>
        <v>0.335</v>
      </c>
      <c r="D35" s="13" t="n">
        <f aca="false">CHOOSE($C$5,D32,D33,D34)</f>
        <v>0.345</v>
      </c>
      <c r="E35" s="13" t="n">
        <f aca="false">CHOOSE($C$5,E32,E33,E34)</f>
        <v>0.352</v>
      </c>
      <c r="F35" s="13" t="n">
        <f aca="false">CHOOSE($C$5,F32,F33,F34)</f>
        <v>0.358</v>
      </c>
      <c r="G35" s="13" t="n">
        <f aca="false">CHOOSE($C$5,G32,G33,G34)</f>
        <v>0.362</v>
      </c>
    </row>
    <row r="37" customFormat="false" ht="15" hidden="false" customHeight="false" outlineLevel="0" collapsed="false">
      <c r="A37" s="5" t="s">
        <v>53</v>
      </c>
      <c r="B37" s="9" t="n">
        <v>0</v>
      </c>
      <c r="C37" s="9" t="n">
        <v>0</v>
      </c>
      <c r="D37" s="9" t="n">
        <v>0</v>
      </c>
      <c r="E37" s="9" t="n">
        <v>0</v>
      </c>
      <c r="F37" s="9" t="n">
        <v>0</v>
      </c>
      <c r="G37" s="9" t="n">
        <v>0</v>
      </c>
      <c r="I37" s="10" t="s">
        <v>54</v>
      </c>
    </row>
    <row r="38" customFormat="false" ht="15" hidden="false" customHeight="false" outlineLevel="0" collapsed="false">
      <c r="A38" s="5" t="s">
        <v>55</v>
      </c>
      <c r="B38" s="9" t="n">
        <v>0</v>
      </c>
      <c r="C38" s="9" t="n">
        <v>0</v>
      </c>
      <c r="D38" s="9" t="n">
        <v>0</v>
      </c>
      <c r="E38" s="9" t="n">
        <v>0</v>
      </c>
      <c r="F38" s="9" t="n">
        <v>0</v>
      </c>
      <c r="G38" s="9" t="n">
        <v>0</v>
      </c>
    </row>
    <row r="39" customFormat="false" ht="15" hidden="false" customHeight="false" outlineLevel="0" collapsed="false">
      <c r="A39" s="5" t="s">
        <v>56</v>
      </c>
      <c r="B39" s="9" t="n">
        <v>0</v>
      </c>
      <c r="C39" s="9" t="n">
        <v>0</v>
      </c>
      <c r="D39" s="9" t="n">
        <v>0</v>
      </c>
      <c r="E39" s="9" t="n">
        <v>0</v>
      </c>
      <c r="F39" s="9" t="n">
        <v>0</v>
      </c>
      <c r="G39" s="9" t="n">
        <v>0</v>
      </c>
    </row>
    <row r="40" customFormat="false" ht="15" hidden="false" customHeight="false" outlineLevel="0" collapsed="false">
      <c r="A40" s="4" t="s">
        <v>57</v>
      </c>
      <c r="B40" s="14" t="n">
        <f aca="false">CHOOSE($C$5,B37,B38,B39)</f>
        <v>0</v>
      </c>
      <c r="C40" s="14" t="n">
        <f aca="false">CHOOSE($C$5,C37,C38,C39)</f>
        <v>0</v>
      </c>
      <c r="D40" s="14" t="n">
        <f aca="false">CHOOSE($C$5,D37,D38,D39)</f>
        <v>0</v>
      </c>
      <c r="E40" s="14" t="n">
        <f aca="false">CHOOSE($C$5,E37,E38,E39)</f>
        <v>0</v>
      </c>
      <c r="F40" s="14" t="n">
        <f aca="false">CHOOSE($C$5,F37,F38,F39)</f>
        <v>0</v>
      </c>
      <c r="G40" s="14" t="n">
        <f aca="false">CHOOSE($C$5,G37,G38,G39)</f>
        <v>0</v>
      </c>
    </row>
    <row r="42" customFormat="false" ht="15" hidden="false" customHeight="false" outlineLevel="0" collapsed="false">
      <c r="A42" s="5" t="s">
        <v>58</v>
      </c>
      <c r="B42" s="9" t="n">
        <v>400</v>
      </c>
      <c r="C42" s="9" t="n">
        <v>400</v>
      </c>
      <c r="D42" s="9" t="n">
        <v>400</v>
      </c>
      <c r="E42" s="9" t="n">
        <v>400</v>
      </c>
      <c r="F42" s="9" t="n">
        <v>400</v>
      </c>
      <c r="G42" s="9" t="n">
        <v>400</v>
      </c>
      <c r="I42" s="10" t="s">
        <v>59</v>
      </c>
    </row>
    <row r="43" customFormat="false" ht="15" hidden="false" customHeight="false" outlineLevel="0" collapsed="false">
      <c r="A43" s="5" t="s">
        <v>60</v>
      </c>
      <c r="B43" s="9" t="n">
        <v>400</v>
      </c>
      <c r="C43" s="9" t="n">
        <v>400</v>
      </c>
      <c r="D43" s="9" t="n">
        <v>400</v>
      </c>
      <c r="E43" s="9" t="n">
        <v>400</v>
      </c>
      <c r="F43" s="9" t="n">
        <v>400</v>
      </c>
      <c r="G43" s="9" t="n">
        <v>400</v>
      </c>
    </row>
    <row r="44" customFormat="false" ht="15" hidden="false" customHeight="false" outlineLevel="0" collapsed="false">
      <c r="A44" s="5" t="s">
        <v>61</v>
      </c>
      <c r="B44" s="9" t="n">
        <v>400</v>
      </c>
      <c r="C44" s="9" t="n">
        <v>400</v>
      </c>
      <c r="D44" s="9" t="n">
        <v>400</v>
      </c>
      <c r="E44" s="9" t="n">
        <v>400</v>
      </c>
      <c r="F44" s="9" t="n">
        <v>400</v>
      </c>
      <c r="G44" s="9" t="n">
        <v>400</v>
      </c>
    </row>
    <row r="45" customFormat="false" ht="15" hidden="false" customHeight="false" outlineLevel="0" collapsed="false">
      <c r="A45" s="4" t="s">
        <v>62</v>
      </c>
      <c r="B45" s="14" t="n">
        <f aca="false">CHOOSE($C$5,B42,B43,B44)</f>
        <v>400</v>
      </c>
      <c r="C45" s="14" t="n">
        <f aca="false">CHOOSE($C$5,C42,C43,C44)</f>
        <v>400</v>
      </c>
      <c r="D45" s="14" t="n">
        <f aca="false">CHOOSE($C$5,D42,D43,D44)</f>
        <v>400</v>
      </c>
      <c r="E45" s="14" t="n">
        <f aca="false">CHOOSE($C$5,E42,E43,E44)</f>
        <v>400</v>
      </c>
      <c r="F45" s="14" t="n">
        <f aca="false">CHOOSE($C$5,F42,F43,F44)</f>
        <v>400</v>
      </c>
      <c r="G45" s="14" t="n">
        <f aca="false">CHOOSE($C$5,G42,G43,G44)</f>
        <v>400</v>
      </c>
    </row>
    <row r="47" customFormat="false" ht="15" hidden="false" customHeight="false" outlineLevel="0" collapsed="false">
      <c r="A47" s="5" t="s">
        <v>63</v>
      </c>
      <c r="B47" s="9" t="n">
        <v>0</v>
      </c>
      <c r="C47" s="9" t="n">
        <v>0</v>
      </c>
      <c r="D47" s="9" t="n">
        <v>0</v>
      </c>
      <c r="E47" s="9" t="n">
        <v>0</v>
      </c>
      <c r="F47" s="9" t="n">
        <v>0</v>
      </c>
      <c r="G47" s="9" t="n">
        <v>0</v>
      </c>
      <c r="I47" s="10" t="s">
        <v>64</v>
      </c>
    </row>
    <row r="48" customFormat="false" ht="15" hidden="false" customHeight="false" outlineLevel="0" collapsed="false">
      <c r="A48" s="5" t="s">
        <v>65</v>
      </c>
      <c r="B48" s="9" t="n">
        <v>0</v>
      </c>
      <c r="C48" s="9" t="n">
        <v>0</v>
      </c>
      <c r="D48" s="9" t="n">
        <v>0</v>
      </c>
      <c r="E48" s="9" t="n">
        <v>0</v>
      </c>
      <c r="F48" s="9" t="n">
        <v>0</v>
      </c>
      <c r="G48" s="9" t="n">
        <v>0</v>
      </c>
    </row>
    <row r="49" customFormat="false" ht="15" hidden="false" customHeight="false" outlineLevel="0" collapsed="false">
      <c r="A49" s="5" t="s">
        <v>66</v>
      </c>
      <c r="B49" s="9" t="n">
        <v>0</v>
      </c>
      <c r="C49" s="9" t="n">
        <v>0</v>
      </c>
      <c r="D49" s="9" t="n">
        <v>0</v>
      </c>
      <c r="E49" s="9" t="n">
        <v>0</v>
      </c>
      <c r="F49" s="9" t="n">
        <v>0</v>
      </c>
      <c r="G49" s="9" t="n">
        <v>0</v>
      </c>
    </row>
    <row r="50" customFormat="false" ht="15" hidden="false" customHeight="false" outlineLevel="0" collapsed="false">
      <c r="A50" s="4" t="s">
        <v>67</v>
      </c>
      <c r="B50" s="14" t="n">
        <f aca="false">CHOOSE($C$5,B47,B48,B49)</f>
        <v>0</v>
      </c>
      <c r="C50" s="14" t="n">
        <f aca="false">CHOOSE($C$5,C47,C48,C49)</f>
        <v>0</v>
      </c>
      <c r="D50" s="14" t="n">
        <f aca="false">CHOOSE($C$5,D47,D48,D49)</f>
        <v>0</v>
      </c>
      <c r="E50" s="14" t="n">
        <f aca="false">CHOOSE($C$5,E47,E48,E49)</f>
        <v>0</v>
      </c>
      <c r="F50" s="14" t="n">
        <f aca="false">CHOOSE($C$5,F47,F48,F49)</f>
        <v>0</v>
      </c>
      <c r="G50" s="14" t="n">
        <f aca="false">CHOOSE($C$5,G47,G48,G49)</f>
        <v>0</v>
      </c>
    </row>
    <row r="52" customFormat="false" ht="15" hidden="false" customHeight="false" outlineLevel="0" collapsed="false">
      <c r="A52" s="5" t="s">
        <v>68</v>
      </c>
      <c r="B52" s="12" t="n">
        <v>0.015</v>
      </c>
      <c r="C52" s="12" t="n">
        <v>0.015</v>
      </c>
      <c r="D52" s="12" t="n">
        <v>0.015</v>
      </c>
      <c r="E52" s="12" t="n">
        <v>0.015</v>
      </c>
      <c r="F52" s="12" t="n">
        <v>0.015</v>
      </c>
      <c r="G52" s="12" t="n">
        <v>0.015</v>
      </c>
      <c r="I52" s="10" t="s">
        <v>69</v>
      </c>
    </row>
    <row r="53" customFormat="false" ht="15" hidden="false" customHeight="false" outlineLevel="0" collapsed="false">
      <c r="A53" s="5" t="s">
        <v>70</v>
      </c>
      <c r="B53" s="12" t="n">
        <v>0.015</v>
      </c>
      <c r="C53" s="12" t="n">
        <v>0.015</v>
      </c>
      <c r="D53" s="12" t="n">
        <v>0.015</v>
      </c>
      <c r="E53" s="12" t="n">
        <v>0.015</v>
      </c>
      <c r="F53" s="12" t="n">
        <v>0.015</v>
      </c>
      <c r="G53" s="12" t="n">
        <v>0.015</v>
      </c>
    </row>
    <row r="54" customFormat="false" ht="15" hidden="false" customHeight="false" outlineLevel="0" collapsed="false">
      <c r="A54" s="5" t="s">
        <v>71</v>
      </c>
      <c r="B54" s="12" t="n">
        <v>0.015</v>
      </c>
      <c r="C54" s="12" t="n">
        <v>0.015</v>
      </c>
      <c r="D54" s="12" t="n">
        <v>0.015</v>
      </c>
      <c r="E54" s="12" t="n">
        <v>0.015</v>
      </c>
      <c r="F54" s="12" t="n">
        <v>0.015</v>
      </c>
      <c r="G54" s="12" t="n">
        <v>0.015</v>
      </c>
    </row>
    <row r="55" customFormat="false" ht="15" hidden="false" customHeight="false" outlineLevel="0" collapsed="false">
      <c r="A55" s="4" t="s">
        <v>72</v>
      </c>
      <c r="B55" s="13" t="n">
        <f aca="false">CHOOSE($C$5,B52,B53,B54)</f>
        <v>0.015</v>
      </c>
      <c r="C55" s="13" t="n">
        <f aca="false">CHOOSE($C$5,C52,C53,C54)</f>
        <v>0.015</v>
      </c>
      <c r="D55" s="13" t="n">
        <f aca="false">CHOOSE($C$5,D52,D53,D54)</f>
        <v>0.015</v>
      </c>
      <c r="E55" s="13" t="n">
        <f aca="false">CHOOSE($C$5,E52,E53,E54)</f>
        <v>0.015</v>
      </c>
      <c r="F55" s="13" t="n">
        <f aca="false">CHOOSE($C$5,F52,F53,F54)</f>
        <v>0.015</v>
      </c>
      <c r="G55" s="13" t="n">
        <f aca="false">CHOOSE($C$5,G52,G53,G54)</f>
        <v>0.015</v>
      </c>
    </row>
    <row r="57" customFormat="false" ht="15" hidden="false" customHeight="false" outlineLevel="0" collapsed="false">
      <c r="A57" s="5" t="s">
        <v>73</v>
      </c>
      <c r="B57" s="12" t="n">
        <v>0.033</v>
      </c>
      <c r="C57" s="12" t="n">
        <v>0.03</v>
      </c>
      <c r="D57" s="12" t="n">
        <v>0.027</v>
      </c>
      <c r="E57" s="12" t="n">
        <v>0.025</v>
      </c>
      <c r="F57" s="12" t="n">
        <v>0.023</v>
      </c>
      <c r="G57" s="12" t="n">
        <v>0.02</v>
      </c>
      <c r="I57" s="10" t="s">
        <v>74</v>
      </c>
    </row>
    <row r="58" customFormat="false" ht="15" hidden="false" customHeight="false" outlineLevel="0" collapsed="false">
      <c r="A58" s="5" t="s">
        <v>75</v>
      </c>
      <c r="B58" s="12" t="n">
        <v>0.04</v>
      </c>
      <c r="C58" s="12" t="n">
        <v>0.038</v>
      </c>
      <c r="D58" s="12" t="n">
        <v>0.035</v>
      </c>
      <c r="E58" s="12" t="n">
        <v>0.033</v>
      </c>
      <c r="F58" s="12" t="n">
        <v>0.03</v>
      </c>
      <c r="G58" s="12" t="n">
        <v>0.028</v>
      </c>
    </row>
    <row r="59" customFormat="false" ht="15" hidden="false" customHeight="false" outlineLevel="0" collapsed="false">
      <c r="A59" s="5" t="s">
        <v>76</v>
      </c>
      <c r="B59" s="12" t="n">
        <v>0.03</v>
      </c>
      <c r="C59" s="12" t="n">
        <v>0.026</v>
      </c>
      <c r="D59" s="12" t="n">
        <v>0.023</v>
      </c>
      <c r="E59" s="12" t="n">
        <v>0.02</v>
      </c>
      <c r="F59" s="12" t="n">
        <v>0.018</v>
      </c>
      <c r="G59" s="12" t="n">
        <v>0.016</v>
      </c>
    </row>
    <row r="60" customFormat="false" ht="15" hidden="false" customHeight="false" outlineLevel="0" collapsed="false">
      <c r="A60" s="4" t="s">
        <v>77</v>
      </c>
      <c r="B60" s="13" t="n">
        <f aca="false">CHOOSE($C$5,B57,B58,B59)</f>
        <v>0.033</v>
      </c>
      <c r="C60" s="13" t="n">
        <f aca="false">CHOOSE($C$5,C57,C58,C59)</f>
        <v>0.03</v>
      </c>
      <c r="D60" s="13" t="n">
        <f aca="false">CHOOSE($C$5,D57,D58,D59)</f>
        <v>0.027</v>
      </c>
      <c r="E60" s="13" t="n">
        <f aca="false">CHOOSE($C$5,E57,E58,E59)</f>
        <v>0.025</v>
      </c>
      <c r="F60" s="13" t="n">
        <f aca="false">CHOOSE($C$5,F57,F58,F59)</f>
        <v>0.023</v>
      </c>
      <c r="G60" s="13" t="n">
        <f aca="false">CHOOSE($C$5,G57,G58,G59)</f>
        <v>0.02</v>
      </c>
    </row>
    <row r="62" customFormat="false" ht="15" hidden="false" customHeight="false" outlineLevel="0" collapsed="false">
      <c r="A62" s="5" t="s">
        <v>78</v>
      </c>
      <c r="B62" s="9" t="n">
        <v>350</v>
      </c>
      <c r="C62" s="9" t="n">
        <v>350</v>
      </c>
      <c r="D62" s="9" t="n">
        <v>350</v>
      </c>
      <c r="E62" s="9" t="n">
        <v>350</v>
      </c>
      <c r="F62" s="9" t="n">
        <v>350</v>
      </c>
      <c r="G62" s="9" t="n">
        <v>350</v>
      </c>
      <c r="I62" s="10" t="s">
        <v>79</v>
      </c>
    </row>
    <row r="63" customFormat="false" ht="15" hidden="false" customHeight="false" outlineLevel="0" collapsed="false">
      <c r="A63" s="5" t="s">
        <v>80</v>
      </c>
      <c r="B63" s="9" t="n">
        <v>350</v>
      </c>
      <c r="C63" s="9" t="n">
        <v>350</v>
      </c>
      <c r="D63" s="9" t="n">
        <v>350</v>
      </c>
      <c r="E63" s="9" t="n">
        <v>350</v>
      </c>
      <c r="F63" s="9" t="n">
        <v>350</v>
      </c>
      <c r="G63" s="9" t="n">
        <v>350</v>
      </c>
    </row>
    <row r="64" customFormat="false" ht="15" hidden="false" customHeight="false" outlineLevel="0" collapsed="false">
      <c r="A64" s="5" t="s">
        <v>81</v>
      </c>
      <c r="B64" s="9" t="n">
        <v>350</v>
      </c>
      <c r="C64" s="9" t="n">
        <v>350</v>
      </c>
      <c r="D64" s="9" t="n">
        <v>350</v>
      </c>
      <c r="E64" s="9" t="n">
        <v>350</v>
      </c>
      <c r="F64" s="9" t="n">
        <v>350</v>
      </c>
      <c r="G64" s="9" t="n">
        <v>350</v>
      </c>
    </row>
    <row r="65" customFormat="false" ht="15" hidden="false" customHeight="false" outlineLevel="0" collapsed="false">
      <c r="A65" s="4" t="s">
        <v>82</v>
      </c>
      <c r="B65" s="14" t="n">
        <f aca="false">CHOOSE($C$5,B62,B63,B64)</f>
        <v>350</v>
      </c>
      <c r="C65" s="14" t="n">
        <f aca="false">CHOOSE($C$5,C62,C63,C64)</f>
        <v>350</v>
      </c>
      <c r="D65" s="14" t="n">
        <f aca="false">CHOOSE($C$5,D62,D63,D64)</f>
        <v>350</v>
      </c>
      <c r="E65" s="14" t="n">
        <f aca="false">CHOOSE($C$5,E62,E63,E64)</f>
        <v>350</v>
      </c>
      <c r="F65" s="14" t="n">
        <f aca="false">CHOOSE($C$5,F62,F63,F64)</f>
        <v>350</v>
      </c>
      <c r="G65" s="14" t="n">
        <f aca="false">CHOOSE($C$5,G62,G63,G64)</f>
        <v>350</v>
      </c>
    </row>
    <row r="67" customFormat="false" ht="15" hidden="false" customHeight="false" outlineLevel="0" collapsed="false">
      <c r="A67" s="7" t="s">
        <v>83</v>
      </c>
      <c r="B67" s="8" t="s">
        <v>12</v>
      </c>
      <c r="C67" s="8"/>
      <c r="D67" s="8"/>
      <c r="E67" s="8"/>
      <c r="F67" s="8"/>
      <c r="G67" s="8"/>
      <c r="H67" s="8"/>
      <c r="I67" s="8" t="s">
        <v>13</v>
      </c>
    </row>
    <row r="68" customFormat="false" ht="15" hidden="false" customHeight="false" outlineLevel="0" collapsed="false">
      <c r="A68" s="5" t="s">
        <v>84</v>
      </c>
      <c r="B68" s="15" t="n">
        <v>65.85</v>
      </c>
      <c r="I68" s="10" t="s">
        <v>85</v>
      </c>
    </row>
    <row r="69" customFormat="false" ht="15" hidden="false" customHeight="false" outlineLevel="0" collapsed="false">
      <c r="A69" s="5" t="s">
        <v>86</v>
      </c>
      <c r="B69" s="9" t="n">
        <v>4164</v>
      </c>
      <c r="I69" s="10" t="s">
        <v>87</v>
      </c>
    </row>
    <row r="70" customFormat="false" ht="15" hidden="false" customHeight="false" outlineLevel="0" collapsed="false">
      <c r="A70" s="5" t="s">
        <v>88</v>
      </c>
      <c r="B70" s="9" t="n">
        <v>15300</v>
      </c>
      <c r="I70" s="10" t="s">
        <v>89</v>
      </c>
    </row>
    <row r="71" customFormat="false" ht="15" hidden="false" customHeight="false" outlineLevel="0" collapsed="false">
      <c r="A71" s="5" t="s">
        <v>90</v>
      </c>
      <c r="B71" s="9" t="n">
        <v>8194</v>
      </c>
      <c r="I71" s="10" t="s">
        <v>91</v>
      </c>
    </row>
    <row r="72" customFormat="false" ht="15" hidden="false" customHeight="false" outlineLevel="0" collapsed="false">
      <c r="A72" s="5" t="s">
        <v>92</v>
      </c>
      <c r="B72" s="9" t="n">
        <v>0</v>
      </c>
      <c r="I72" s="10" t="s">
        <v>93</v>
      </c>
    </row>
    <row r="73" customFormat="false" ht="15" hidden="false" customHeight="false" outlineLevel="0" collapsed="false">
      <c r="A73" s="5" t="s">
        <v>94</v>
      </c>
      <c r="B73" s="12" t="n">
        <v>0.19</v>
      </c>
      <c r="I73" s="10" t="s">
        <v>95</v>
      </c>
    </row>
    <row r="74" customFormat="false" ht="15" hidden="false" customHeight="false" outlineLevel="0" collapsed="false">
      <c r="A74" s="5" t="s">
        <v>96</v>
      </c>
      <c r="B74" s="12" t="n">
        <v>0.03</v>
      </c>
      <c r="I74" s="10" t="s">
        <v>97</v>
      </c>
    </row>
    <row r="75" customFormat="false" ht="15" hidden="false" customHeight="false" outlineLevel="0" collapsed="false">
      <c r="A75" s="5" t="s">
        <v>98</v>
      </c>
      <c r="B75" s="16" t="n">
        <v>14</v>
      </c>
      <c r="I75" s="10" t="s">
        <v>99</v>
      </c>
    </row>
    <row r="76" customFormat="false" ht="15" hidden="false" customHeight="false" outlineLevel="0" collapsed="false">
      <c r="A76" s="5" t="s">
        <v>100</v>
      </c>
      <c r="B76" s="12" t="n">
        <v>0.23</v>
      </c>
      <c r="I76" s="10" t="s">
        <v>101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6" min="2" style="0" width="12"/>
    <col collapsed="false" customWidth="true" hidden="false" outlineLevel="0" max="7" min="7" style="0" width="50"/>
  </cols>
  <sheetData>
    <row r="1" customFormat="false" ht="17.35" hidden="false" customHeight="false" outlineLevel="0" collapsed="false">
      <c r="A1" s="1" t="s">
        <v>102</v>
      </c>
    </row>
    <row r="2" customFormat="false" ht="15" hidden="false" customHeight="false" outlineLevel="0" collapsed="false">
      <c r="A2" s="2" t="s">
        <v>1</v>
      </c>
    </row>
    <row r="4" customFormat="false" ht="15" hidden="false" customHeight="false" outlineLevel="0" collapsed="false">
      <c r="A4" s="7" t="s">
        <v>103</v>
      </c>
      <c r="B4" s="8" t="s">
        <v>104</v>
      </c>
      <c r="C4" s="8" t="s">
        <v>105</v>
      </c>
      <c r="D4" s="8" t="s">
        <v>106</v>
      </c>
      <c r="E4" s="8" t="s">
        <v>13</v>
      </c>
    </row>
    <row r="5" customFormat="false" ht="15" hidden="false" customHeight="false" outlineLevel="0" collapsed="false">
      <c r="A5" s="5" t="s">
        <v>107</v>
      </c>
      <c r="B5" s="9" t="n">
        <v>39001</v>
      </c>
      <c r="C5" s="9" t="n">
        <v>45183</v>
      </c>
      <c r="D5" s="9" t="n">
        <v>37684</v>
      </c>
      <c r="E5" s="10" t="s">
        <v>108</v>
      </c>
    </row>
    <row r="6" customFormat="false" ht="15" hidden="false" customHeight="false" outlineLevel="0" collapsed="false">
      <c r="A6" s="5" t="s">
        <v>109</v>
      </c>
      <c r="B6" s="9" t="n">
        <v>10418</v>
      </c>
      <c r="C6" s="9" t="n">
        <v>13327</v>
      </c>
      <c r="D6" s="9" t="n">
        <v>12608</v>
      </c>
      <c r="E6" s="10" t="s">
        <v>108</v>
      </c>
    </row>
    <row r="7" customFormat="false" ht="15" hidden="false" customHeight="false" outlineLevel="0" collapsed="false">
      <c r="A7" s="5" t="s">
        <v>110</v>
      </c>
      <c r="B7" s="12" t="n">
        <v>0.267</v>
      </c>
      <c r="C7" s="12" t="n">
        <v>0.295</v>
      </c>
      <c r="D7" s="12" t="n">
        <v>0.335</v>
      </c>
      <c r="E7" s="10" t="s">
        <v>108</v>
      </c>
    </row>
    <row r="8" customFormat="false" ht="15" hidden="false" customHeight="false" outlineLevel="0" collapsed="false">
      <c r="A8" s="5" t="s">
        <v>111</v>
      </c>
      <c r="B8" s="9" t="n">
        <v>16224</v>
      </c>
      <c r="C8" s="9" t="n">
        <v>17097</v>
      </c>
      <c r="D8" s="9" t="n">
        <v>14934</v>
      </c>
      <c r="E8" s="10" t="s">
        <v>108</v>
      </c>
    </row>
    <row r="9" customFormat="false" ht="15" hidden="false" customHeight="false" outlineLevel="0" collapsed="false">
      <c r="A9" s="5" t="s">
        <v>112</v>
      </c>
      <c r="B9" s="9" t="n">
        <v>15302</v>
      </c>
      <c r="C9" s="9" t="n">
        <v>16422</v>
      </c>
      <c r="D9" s="9" t="n">
        <v>12765</v>
      </c>
      <c r="E9" s="10" t="s">
        <v>108</v>
      </c>
    </row>
    <row r="10" customFormat="false" ht="15" hidden="false" customHeight="false" outlineLevel="0" collapsed="false">
      <c r="A10" s="5" t="s">
        <v>113</v>
      </c>
      <c r="B10" s="9" t="n">
        <v>273</v>
      </c>
      <c r="C10" s="9" t="n">
        <v>368</v>
      </c>
      <c r="E10" s="10" t="s">
        <v>17</v>
      </c>
    </row>
    <row r="11" customFormat="false" ht="15" hidden="false" customHeight="false" outlineLevel="0" collapsed="false">
      <c r="A11" s="5" t="s">
        <v>114</v>
      </c>
      <c r="B11" s="9" t="n">
        <v>440</v>
      </c>
      <c r="C11" s="9" t="n">
        <v>688</v>
      </c>
      <c r="D11" s="9" t="n">
        <v>694</v>
      </c>
      <c r="E11" s="10" t="s">
        <v>108</v>
      </c>
    </row>
    <row r="12" customFormat="false" ht="15" hidden="false" customHeight="false" outlineLevel="0" collapsed="false">
      <c r="A12" s="5" t="s">
        <v>115</v>
      </c>
      <c r="B12" s="9" t="n">
        <v>6922</v>
      </c>
      <c r="C12" s="9" t="n">
        <v>9461</v>
      </c>
      <c r="D12" s="9" t="n">
        <v>9503</v>
      </c>
      <c r="E12" s="10" t="s">
        <v>108</v>
      </c>
    </row>
    <row r="13" customFormat="false" ht="15" hidden="false" customHeight="false" outlineLevel="0" collapsed="false">
      <c r="A13" s="5" t="s">
        <v>116</v>
      </c>
      <c r="C13" s="9" t="n">
        <v>5457</v>
      </c>
      <c r="D13" s="9" t="n">
        <v>7114</v>
      </c>
      <c r="E13" s="10" t="s">
        <v>108</v>
      </c>
    </row>
    <row r="15" customFormat="false" ht="15" hidden="false" customHeight="false" outlineLevel="0" collapsed="false">
      <c r="A15" s="2" t="s">
        <v>117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7" min="2" style="0" width="12"/>
    <col collapsed="false" customWidth="true" hidden="false" outlineLevel="0" max="8" min="8" style="0" width="46"/>
  </cols>
  <sheetData>
    <row r="1" customFormat="false" ht="17.35" hidden="false" customHeight="false" outlineLevel="0" collapsed="false">
      <c r="A1" s="1" t="s">
        <v>118</v>
      </c>
    </row>
    <row r="2" customFormat="false" ht="15" hidden="false" customHeight="false" outlineLevel="0" collapsed="false">
      <c r="A2" s="2" t="s">
        <v>1</v>
      </c>
    </row>
    <row r="4" customFormat="false" ht="15" hidden="false" customHeight="false" outlineLevel="0" collapsed="false">
      <c r="A4" s="7" t="s">
        <v>103</v>
      </c>
      <c r="B4" s="8" t="s">
        <v>31</v>
      </c>
      <c r="C4" s="8" t="s">
        <v>32</v>
      </c>
      <c r="D4" s="8" t="s">
        <v>33</v>
      </c>
      <c r="E4" s="8" t="s">
        <v>34</v>
      </c>
      <c r="F4" s="8" t="s">
        <v>35</v>
      </c>
      <c r="G4" s="8" t="s">
        <v>36</v>
      </c>
      <c r="H4" s="8" t="s">
        <v>37</v>
      </c>
    </row>
    <row r="5" customFormat="false" ht="15" hidden="false" customHeight="false" outlineLevel="0" collapsed="false">
      <c r="A5" s="5" t="s">
        <v>119</v>
      </c>
      <c r="B5" s="17" t="n">
        <f aca="false">Inputs!B17</f>
        <v>48400</v>
      </c>
      <c r="C5" s="18" t="n">
        <f aca="false">B5*(1+Inputs!C$25)</f>
        <v>52756</v>
      </c>
      <c r="D5" s="18" t="n">
        <f aca="false">C5*(1+Inputs!D$25)</f>
        <v>56976.48</v>
      </c>
      <c r="E5" s="18" t="n">
        <f aca="false">D5*(1+Inputs!E$25)</f>
        <v>60964.8336</v>
      </c>
      <c r="F5" s="18" t="n">
        <f aca="false">E5*(1+Inputs!F$25)</f>
        <v>64622.723616</v>
      </c>
      <c r="G5" s="18" t="n">
        <f aca="false">F5*(1+Inputs!G$25)</f>
        <v>67853.8597968</v>
      </c>
    </row>
    <row r="6" customFormat="false" ht="15" hidden="false" customHeight="false" outlineLevel="0" collapsed="false">
      <c r="A6" s="5" t="s">
        <v>120</v>
      </c>
      <c r="B6" s="17" t="n">
        <f aca="false">Inputs!B18</f>
        <v>2700</v>
      </c>
      <c r="C6" s="18" t="n">
        <f aca="false">B6*(1+Inputs!C$30)</f>
        <v>3645</v>
      </c>
      <c r="D6" s="18" t="n">
        <f aca="false">C6*(1+Inputs!D$30)</f>
        <v>4738.5</v>
      </c>
      <c r="E6" s="18" t="n">
        <f aca="false">D6*(1+Inputs!E$30)</f>
        <v>5923.125</v>
      </c>
      <c r="F6" s="18" t="n">
        <f aca="false">E6*(1+Inputs!F$30)</f>
        <v>7107.75</v>
      </c>
      <c r="G6" s="18" t="n">
        <f aca="false">F6*(1+Inputs!G$30)</f>
        <v>8173.9125</v>
      </c>
    </row>
    <row r="7" customFormat="false" ht="15" hidden="false" customHeight="false" outlineLevel="0" collapsed="false">
      <c r="A7" s="19" t="s">
        <v>121</v>
      </c>
      <c r="B7" s="20" t="n">
        <f aca="false">SUM(B5:B6)</f>
        <v>51100</v>
      </c>
      <c r="C7" s="20" t="n">
        <f aca="false">SUM(C5:C6)</f>
        <v>56401</v>
      </c>
      <c r="D7" s="20" t="n">
        <f aca="false">SUM(D5:D6)</f>
        <v>61714.98</v>
      </c>
      <c r="E7" s="20" t="n">
        <f aca="false">SUM(E5:E6)</f>
        <v>66887.9586</v>
      </c>
      <c r="F7" s="20" t="n">
        <f aca="false">SUM(F5:F6)</f>
        <v>71730.473616</v>
      </c>
      <c r="G7" s="20" t="n">
        <f aca="false">SUM(G5:G6)</f>
        <v>76027.7722968</v>
      </c>
    </row>
    <row r="8" customFormat="false" ht="15" hidden="false" customHeight="false" outlineLevel="0" collapsed="false">
      <c r="A8" s="5" t="s">
        <v>122</v>
      </c>
      <c r="B8" s="21"/>
      <c r="C8" s="21" t="n">
        <f aca="false">C7/B7-1</f>
        <v>0.103737769080235</v>
      </c>
      <c r="D8" s="21" t="n">
        <f aca="false">D7/C7-1</f>
        <v>0.094217833017145</v>
      </c>
      <c r="E8" s="21" t="n">
        <f aca="false">E7/D7-1</f>
        <v>0.083820469519718</v>
      </c>
      <c r="F8" s="21" t="n">
        <f aca="false">F7/E7-1</f>
        <v>0.072397410794953</v>
      </c>
      <c r="G8" s="21" t="n">
        <f aca="false">G7/F7-1</f>
        <v>0.059908968450495</v>
      </c>
    </row>
    <row r="10" customFormat="false" ht="15" hidden="false" customHeight="false" outlineLevel="0" collapsed="false">
      <c r="A10" s="5" t="s">
        <v>123</v>
      </c>
      <c r="B10" s="18" t="n">
        <f aca="false">B7*Inputs!B$35</f>
        <v>16454.2</v>
      </c>
      <c r="C10" s="18" t="n">
        <f aca="false">C7*Inputs!C$35</f>
        <v>18894.335</v>
      </c>
      <c r="D10" s="18" t="n">
        <f aca="false">D7*Inputs!D$35</f>
        <v>21291.6681</v>
      </c>
      <c r="E10" s="18" t="n">
        <f aca="false">E7*Inputs!E$35</f>
        <v>23544.5614272</v>
      </c>
      <c r="F10" s="18" t="n">
        <f aca="false">F7*Inputs!F$35</f>
        <v>25679.509554528</v>
      </c>
      <c r="G10" s="18" t="n">
        <f aca="false">G7*Inputs!G$35</f>
        <v>27522.0535714416</v>
      </c>
    </row>
    <row r="11" customFormat="false" ht="15" hidden="false" customHeight="false" outlineLevel="0" collapsed="false">
      <c r="A11" s="5" t="s">
        <v>124</v>
      </c>
      <c r="B11" s="17" t="n">
        <f aca="false">Inputs!B$40</f>
        <v>0</v>
      </c>
      <c r="C11" s="17" t="n">
        <f aca="false">Inputs!C$40</f>
        <v>0</v>
      </c>
      <c r="D11" s="17" t="n">
        <f aca="false">Inputs!D$40</f>
        <v>0</v>
      </c>
      <c r="E11" s="17" t="n">
        <f aca="false">Inputs!E$40</f>
        <v>0</v>
      </c>
      <c r="F11" s="17" t="n">
        <f aca="false">Inputs!F$40</f>
        <v>0</v>
      </c>
      <c r="G11" s="17" t="n">
        <f aca="false">Inputs!G$40</f>
        <v>0</v>
      </c>
    </row>
    <row r="12" customFormat="false" ht="15" hidden="false" customHeight="false" outlineLevel="0" collapsed="false">
      <c r="A12" s="19" t="s">
        <v>125</v>
      </c>
      <c r="B12" s="20" t="n">
        <f aca="false">B10+B11</f>
        <v>16454.2</v>
      </c>
      <c r="C12" s="20" t="n">
        <f aca="false">C10+C11</f>
        <v>18894.335</v>
      </c>
      <c r="D12" s="20" t="n">
        <f aca="false">D10+D11</f>
        <v>21291.6681</v>
      </c>
      <c r="E12" s="20" t="n">
        <f aca="false">E10+E11</f>
        <v>23544.5614272</v>
      </c>
      <c r="F12" s="20" t="n">
        <f aca="false">F10+F11</f>
        <v>25679.509554528</v>
      </c>
      <c r="G12" s="20" t="n">
        <f aca="false">G10+G11</f>
        <v>27522.0535714416</v>
      </c>
    </row>
    <row r="13" customFormat="false" ht="15" hidden="false" customHeight="false" outlineLevel="0" collapsed="false">
      <c r="A13" s="5" t="s">
        <v>126</v>
      </c>
      <c r="B13" s="21" t="n">
        <f aca="false">B12/B7</f>
        <v>0.322</v>
      </c>
      <c r="C13" s="21" t="n">
        <f aca="false">C12/C7</f>
        <v>0.335</v>
      </c>
      <c r="D13" s="21" t="n">
        <f aca="false">D12/D7</f>
        <v>0.345</v>
      </c>
      <c r="E13" s="21" t="n">
        <f aca="false">E12/E7</f>
        <v>0.352</v>
      </c>
      <c r="F13" s="21" t="n">
        <f aca="false">F12/F7</f>
        <v>0.358</v>
      </c>
      <c r="G13" s="21" t="n">
        <f aca="false">G12/G7</f>
        <v>0.362</v>
      </c>
    </row>
    <row r="14" customFormat="false" ht="15" hidden="false" customHeight="false" outlineLevel="0" collapsed="false">
      <c r="A14" s="5" t="s">
        <v>127</v>
      </c>
      <c r="B14" s="17" t="n">
        <f aca="false">-Inputs!B$45</f>
        <v>-400</v>
      </c>
      <c r="C14" s="17" t="n">
        <f aca="false">-Inputs!C$45</f>
        <v>-400</v>
      </c>
      <c r="D14" s="17" t="n">
        <f aca="false">-Inputs!D$45</f>
        <v>-400</v>
      </c>
      <c r="E14" s="17" t="n">
        <f aca="false">-Inputs!E$45</f>
        <v>-400</v>
      </c>
      <c r="F14" s="17" t="n">
        <f aca="false">-Inputs!F$45</f>
        <v>-400</v>
      </c>
      <c r="G14" s="17" t="n">
        <f aca="false">-Inputs!G$45</f>
        <v>-400</v>
      </c>
    </row>
    <row r="15" customFormat="false" ht="15" hidden="false" customHeight="false" outlineLevel="0" collapsed="false">
      <c r="A15" s="5" t="s">
        <v>128</v>
      </c>
      <c r="B15" s="17" t="n">
        <f aca="false">-Inputs!B$50</f>
        <v>-0</v>
      </c>
      <c r="C15" s="17" t="n">
        <f aca="false">-Inputs!C$50</f>
        <v>-0</v>
      </c>
      <c r="D15" s="17" t="n">
        <f aca="false">-Inputs!D$50</f>
        <v>-0</v>
      </c>
      <c r="E15" s="17" t="n">
        <f aca="false">-Inputs!E$50</f>
        <v>-0</v>
      </c>
      <c r="F15" s="17" t="n">
        <f aca="false">-Inputs!F$50</f>
        <v>-0</v>
      </c>
      <c r="G15" s="17" t="n">
        <f aca="false">-Inputs!G$50</f>
        <v>-0</v>
      </c>
    </row>
    <row r="16" customFormat="false" ht="15" hidden="false" customHeight="false" outlineLevel="0" collapsed="false">
      <c r="A16" s="5" t="s">
        <v>129</v>
      </c>
      <c r="B16" s="18" t="n">
        <f aca="false">B12+B14+B15</f>
        <v>16054.2</v>
      </c>
      <c r="C16" s="18" t="n">
        <f aca="false">C12+C14+C15</f>
        <v>18494.335</v>
      </c>
      <c r="D16" s="18" t="n">
        <f aca="false">D12+D14+D15</f>
        <v>20891.6681</v>
      </c>
      <c r="E16" s="18" t="n">
        <f aca="false">E12+E14+E15</f>
        <v>23144.5614272</v>
      </c>
      <c r="F16" s="18" t="n">
        <f aca="false">F12+F14+F15</f>
        <v>25279.509554528</v>
      </c>
      <c r="G16" s="18" t="n">
        <f aca="false">G12+G14+G15</f>
        <v>27122.0535714416</v>
      </c>
    </row>
    <row r="17" customFormat="false" ht="15" hidden="false" customHeight="false" outlineLevel="0" collapsed="false">
      <c r="A17" s="5" t="s">
        <v>130</v>
      </c>
      <c r="B17" s="17" t="n">
        <f aca="false">-Inputs!B$65</f>
        <v>-350</v>
      </c>
      <c r="C17" s="17" t="n">
        <f aca="false">-Inputs!C$65</f>
        <v>-350</v>
      </c>
      <c r="D17" s="17" t="n">
        <f aca="false">-Inputs!D$65</f>
        <v>-350</v>
      </c>
      <c r="E17" s="17" t="n">
        <f aca="false">-Inputs!E$65</f>
        <v>-350</v>
      </c>
      <c r="F17" s="17" t="n">
        <f aca="false">-Inputs!F$65</f>
        <v>-350</v>
      </c>
      <c r="G17" s="17" t="n">
        <f aca="false">-Inputs!G$65</f>
        <v>-350</v>
      </c>
    </row>
    <row r="18" customFormat="false" ht="15" hidden="false" customHeight="false" outlineLevel="0" collapsed="false">
      <c r="A18" s="5" t="s">
        <v>131</v>
      </c>
      <c r="B18" s="18" t="n">
        <f aca="false">B16+B17</f>
        <v>15704.2</v>
      </c>
      <c r="C18" s="18" t="n">
        <f aca="false">C16+C17</f>
        <v>18144.335</v>
      </c>
      <c r="D18" s="18" t="n">
        <f aca="false">D16+D17</f>
        <v>20541.6681</v>
      </c>
      <c r="E18" s="18" t="n">
        <f aca="false">E16+E17</f>
        <v>22794.5614272</v>
      </c>
      <c r="F18" s="18" t="n">
        <f aca="false">F16+F17</f>
        <v>24929.509554528</v>
      </c>
      <c r="G18" s="18" t="n">
        <f aca="false">G16+G17</f>
        <v>26772.0535714416</v>
      </c>
    </row>
    <row r="19" customFormat="false" ht="15" hidden="false" customHeight="false" outlineLevel="0" collapsed="false">
      <c r="A19" s="5" t="s">
        <v>132</v>
      </c>
      <c r="B19" s="18" t="n">
        <f aca="false">-MAX(0,B18)*Inputs!$B$76</f>
        <v>-3611.966</v>
      </c>
      <c r="C19" s="18" t="n">
        <f aca="false">-MAX(0,C18)*Inputs!$B$76</f>
        <v>-4173.19705</v>
      </c>
      <c r="D19" s="18" t="n">
        <f aca="false">-MAX(0,D18)*Inputs!$B$76</f>
        <v>-4724.583663</v>
      </c>
      <c r="E19" s="18" t="n">
        <f aca="false">-MAX(0,E18)*Inputs!$B$76</f>
        <v>-5242.749128256</v>
      </c>
      <c r="F19" s="18" t="n">
        <f aca="false">-MAX(0,F18)*Inputs!$B$76</f>
        <v>-5733.78719754144</v>
      </c>
      <c r="G19" s="18" t="n">
        <f aca="false">-MAX(0,G18)*Inputs!$B$76</f>
        <v>-6157.57232143157</v>
      </c>
    </row>
    <row r="20" customFormat="false" ht="15" hidden="false" customHeight="false" outlineLevel="0" collapsed="false">
      <c r="A20" s="5" t="s">
        <v>133</v>
      </c>
      <c r="B20" s="18" t="n">
        <f aca="false">-B7*Inputs!B$55</f>
        <v>-766.5</v>
      </c>
      <c r="C20" s="18" t="n">
        <f aca="false">-C7*Inputs!C$55</f>
        <v>-846.015</v>
      </c>
      <c r="D20" s="18" t="n">
        <f aca="false">-D7*Inputs!D$55</f>
        <v>-925.7247</v>
      </c>
      <c r="E20" s="18" t="n">
        <f aca="false">-E7*Inputs!E$55</f>
        <v>-1003.319379</v>
      </c>
      <c r="F20" s="18" t="n">
        <f aca="false">-F7*Inputs!F$55</f>
        <v>-1075.95710424</v>
      </c>
      <c r="G20" s="18" t="n">
        <f aca="false">-G7*Inputs!G$55</f>
        <v>-1140.416584452</v>
      </c>
    </row>
    <row r="21" customFormat="false" ht="15" hidden="false" customHeight="false" outlineLevel="0" collapsed="false">
      <c r="A21" s="5" t="s">
        <v>134</v>
      </c>
      <c r="B21" s="18" t="n">
        <f aca="false">-B7*Inputs!B$60</f>
        <v>-1686.3</v>
      </c>
      <c r="C21" s="18" t="n">
        <f aca="false">-C7*Inputs!C$60</f>
        <v>-1692.03</v>
      </c>
      <c r="D21" s="18" t="n">
        <f aca="false">-D7*Inputs!D$60</f>
        <v>-1666.30446</v>
      </c>
      <c r="E21" s="18" t="n">
        <f aca="false">-E7*Inputs!E$60</f>
        <v>-1672.198965</v>
      </c>
      <c r="F21" s="18" t="n">
        <f aca="false">-F7*Inputs!F$60</f>
        <v>-1649.800893168</v>
      </c>
      <c r="G21" s="18" t="n">
        <f aca="false">-G7*Inputs!G$60</f>
        <v>-1520.555445936</v>
      </c>
    </row>
    <row r="22" customFormat="false" ht="15" hidden="false" customHeight="false" outlineLevel="0" collapsed="false">
      <c r="A22" s="19" t="s">
        <v>135</v>
      </c>
      <c r="B22" s="20" t="n">
        <f aca="false">B16+B19+B20+B21</f>
        <v>9989.434</v>
      </c>
      <c r="C22" s="20" t="n">
        <f aca="false">C16+C19+C20+C21</f>
        <v>11783.09295</v>
      </c>
      <c r="D22" s="20" t="n">
        <f aca="false">D16+D19+D20+D21</f>
        <v>13575.055277</v>
      </c>
      <c r="E22" s="20" t="n">
        <f aca="false">E16+E19+E20+E21</f>
        <v>15226.293954944</v>
      </c>
      <c r="F22" s="20" t="n">
        <f aca="false">F16+F19+F20+F21</f>
        <v>16819.9643595786</v>
      </c>
      <c r="G22" s="20" t="n">
        <f aca="false">G16+G19+G20+G21</f>
        <v>18303.509219622</v>
      </c>
    </row>
    <row r="23" customFormat="false" ht="15" hidden="false" customHeight="false" outlineLevel="0" collapsed="false">
      <c r="A23" s="5" t="s">
        <v>136</v>
      </c>
      <c r="B23" s="21" t="n">
        <f aca="false">B22/B12</f>
        <v>0.607105419892793</v>
      </c>
      <c r="C23" s="21" t="n">
        <f aca="false">C22/C12</f>
        <v>0.62363099574555</v>
      </c>
      <c r="D23" s="21" t="n">
        <f aca="false">D22/D12</f>
        <v>0.637575938777667</v>
      </c>
      <c r="E23" s="21" t="n">
        <f aca="false">E22/E12</f>
        <v>0.64670110768569</v>
      </c>
      <c r="F23" s="21" t="n">
        <f aca="false">F22/F12</f>
        <v>0.654995545139324</v>
      </c>
      <c r="G23" s="21" t="n">
        <f aca="false">G22/G12</f>
        <v>0.665048818835771</v>
      </c>
    </row>
    <row r="25" customFormat="false" ht="15" hidden="false" customHeight="false" outlineLevel="0" collapsed="false">
      <c r="A25" s="2" t="s">
        <v>137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14"/>
    <col collapsed="false" customWidth="true" hidden="false" outlineLevel="0" max="3" min="3" style="0" width="60"/>
  </cols>
  <sheetData>
    <row r="1" customFormat="false" ht="17.35" hidden="false" customHeight="false" outlineLevel="0" collapsed="false">
      <c r="A1" s="1" t="s">
        <v>138</v>
      </c>
    </row>
    <row r="2" customFormat="false" ht="15" hidden="false" customHeight="false" outlineLevel="0" collapsed="false">
      <c r="A2" s="2" t="s">
        <v>1</v>
      </c>
    </row>
    <row r="4" customFormat="false" ht="15" hidden="false" customHeight="false" outlineLevel="0" collapsed="false">
      <c r="A4" s="7" t="s">
        <v>139</v>
      </c>
      <c r="B4" s="8" t="s">
        <v>12</v>
      </c>
      <c r="C4" s="8" t="s">
        <v>140</v>
      </c>
    </row>
    <row r="5" customFormat="false" ht="15" hidden="false" customHeight="false" outlineLevel="0" collapsed="false">
      <c r="A5" s="5" t="s">
        <v>141</v>
      </c>
      <c r="B5" s="12" t="n">
        <v>0.0495</v>
      </c>
      <c r="C5" s="10" t="s">
        <v>142</v>
      </c>
    </row>
    <row r="6" customFormat="false" ht="15" hidden="false" customHeight="false" outlineLevel="0" collapsed="false">
      <c r="A6" s="5" t="s">
        <v>143</v>
      </c>
      <c r="B6" s="12" t="n">
        <v>0.045</v>
      </c>
      <c r="C6" s="10" t="s">
        <v>144</v>
      </c>
    </row>
    <row r="7" customFormat="false" ht="15" hidden="false" customHeight="false" outlineLevel="0" collapsed="false">
      <c r="A7" s="5" t="s">
        <v>145</v>
      </c>
      <c r="B7" s="22" t="n">
        <v>1.2</v>
      </c>
      <c r="C7" s="10" t="s">
        <v>146</v>
      </c>
    </row>
    <row r="8" customFormat="false" ht="15" hidden="false" customHeight="false" outlineLevel="0" collapsed="false">
      <c r="A8" s="5" t="s">
        <v>147</v>
      </c>
      <c r="B8" s="17" t="n">
        <f aca="false">Inputs!$B$68*Inputs!$B$69</f>
        <v>274199.4</v>
      </c>
      <c r="C8" s="10" t="s">
        <v>148</v>
      </c>
    </row>
    <row r="9" customFormat="false" ht="15" hidden="false" customHeight="false" outlineLevel="0" collapsed="false">
      <c r="A9" s="5" t="s">
        <v>149</v>
      </c>
      <c r="B9" s="17" t="n">
        <f aca="false">Inputs!$B$70-Inputs!$B$71</f>
        <v>7106</v>
      </c>
      <c r="C9" s="10" t="s">
        <v>150</v>
      </c>
    </row>
    <row r="10" customFormat="false" ht="15" hidden="false" customHeight="false" outlineLevel="0" collapsed="false">
      <c r="A10" s="5" t="s">
        <v>151</v>
      </c>
      <c r="B10" s="23" t="n">
        <f aca="false">B9/B8</f>
        <v>0.0259154469338737</v>
      </c>
      <c r="C10" s="10"/>
    </row>
    <row r="11" customFormat="false" ht="15" hidden="false" customHeight="false" outlineLevel="0" collapsed="false">
      <c r="A11" s="5" t="s">
        <v>152</v>
      </c>
      <c r="B11" s="24" t="n">
        <f aca="false">Inputs!$B$76</f>
        <v>0.23</v>
      </c>
      <c r="C11" s="10"/>
    </row>
    <row r="12" customFormat="false" ht="15" hidden="false" customHeight="false" outlineLevel="0" collapsed="false">
      <c r="A12" s="5" t="s">
        <v>153</v>
      </c>
      <c r="B12" s="23" t="n">
        <f aca="false">B7*(1+(1-B11)*B10)</f>
        <v>1.2239458729669</v>
      </c>
      <c r="C12" s="10" t="s">
        <v>154</v>
      </c>
    </row>
    <row r="13" customFormat="false" ht="15" hidden="false" customHeight="false" outlineLevel="0" collapsed="false">
      <c r="A13" s="5" t="s">
        <v>155</v>
      </c>
      <c r="B13" s="21" t="n">
        <f aca="false">B5+B12*B6</f>
        <v>0.10457756428351</v>
      </c>
      <c r="C13" s="10" t="s">
        <v>156</v>
      </c>
    </row>
    <row r="14" customFormat="false" ht="15" hidden="false" customHeight="false" outlineLevel="0" collapsed="false">
      <c r="A14" s="5" t="s">
        <v>157</v>
      </c>
      <c r="B14" s="12" t="n">
        <v>0.053</v>
      </c>
      <c r="C14" s="10" t="s">
        <v>158</v>
      </c>
    </row>
    <row r="15" customFormat="false" ht="15" hidden="false" customHeight="false" outlineLevel="0" collapsed="false">
      <c r="A15" s="5" t="s">
        <v>159</v>
      </c>
      <c r="B15" s="21" t="n">
        <f aca="false">B14*(1-B11)</f>
        <v>0.04081</v>
      </c>
      <c r="C15" s="10"/>
    </row>
    <row r="16" customFormat="false" ht="15" hidden="false" customHeight="false" outlineLevel="0" collapsed="false">
      <c r="A16" s="5" t="s">
        <v>160</v>
      </c>
      <c r="B16" s="21" t="n">
        <f aca="false">B8/(B8+B9)</f>
        <v>0.974739198038857</v>
      </c>
      <c r="C16" s="10" t="s">
        <v>161</v>
      </c>
    </row>
    <row r="17" customFormat="false" ht="15" hidden="false" customHeight="false" outlineLevel="0" collapsed="false">
      <c r="A17" s="5" t="s">
        <v>162</v>
      </c>
      <c r="B17" s="21" t="n">
        <f aca="false">B9/(B8+B9)</f>
        <v>0.0252608019611426</v>
      </c>
      <c r="C17" s="10"/>
    </row>
    <row r="18" customFormat="false" ht="15" hidden="false" customHeight="false" outlineLevel="0" collapsed="false">
      <c r="A18" s="4" t="s">
        <v>163</v>
      </c>
      <c r="B18" s="25" t="n">
        <f aca="false">B16*B13+B17*B15</f>
        <v>0.1029667444706</v>
      </c>
      <c r="C18" s="10"/>
    </row>
    <row r="20" customFormat="false" ht="15" hidden="false" customHeight="false" outlineLevel="0" collapsed="false">
      <c r="A20" s="2" t="s">
        <v>164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7" min="2" style="0" width="12"/>
    <col collapsed="false" customWidth="true" hidden="false" outlineLevel="0" max="8" min="8" style="0" width="40"/>
  </cols>
  <sheetData>
    <row r="1" customFormat="false" ht="17.35" hidden="false" customHeight="false" outlineLevel="0" collapsed="false">
      <c r="A1" s="1" t="s">
        <v>165</v>
      </c>
    </row>
    <row r="2" customFormat="false" ht="15" hidden="false" customHeight="false" outlineLevel="0" collapsed="false">
      <c r="A2" s="2" t="s">
        <v>1</v>
      </c>
    </row>
    <row r="4" customFormat="false" ht="15" hidden="false" customHeight="false" outlineLevel="0" collapsed="false">
      <c r="A4" s="7" t="s">
        <v>103</v>
      </c>
      <c r="B4" s="8" t="s">
        <v>31</v>
      </c>
      <c r="C4" s="8" t="s">
        <v>32</v>
      </c>
      <c r="D4" s="8" t="s">
        <v>33</v>
      </c>
      <c r="E4" s="8" t="s">
        <v>34</v>
      </c>
      <c r="F4" s="8" t="s">
        <v>35</v>
      </c>
      <c r="G4" s="8" t="s">
        <v>36</v>
      </c>
      <c r="H4" s="8" t="s">
        <v>37</v>
      </c>
    </row>
    <row r="5" customFormat="false" ht="15" hidden="false" customHeight="false" outlineLevel="0" collapsed="false">
      <c r="A5" s="5" t="s">
        <v>135</v>
      </c>
      <c r="B5" s="17" t="n">
        <f aca="false">Forecast!B22</f>
        <v>9989.434</v>
      </c>
      <c r="C5" s="17" t="n">
        <f aca="false">Forecast!C22</f>
        <v>11783.09295</v>
      </c>
      <c r="D5" s="17" t="n">
        <f aca="false">Forecast!D22</f>
        <v>13575.055277</v>
      </c>
      <c r="E5" s="17" t="n">
        <f aca="false">Forecast!E22</f>
        <v>15226.293954944</v>
      </c>
      <c r="F5" s="17" t="n">
        <f aca="false">Forecast!F22</f>
        <v>16819.9643595786</v>
      </c>
      <c r="G5" s="17" t="n">
        <f aca="false">Forecast!G22</f>
        <v>18303.509219622</v>
      </c>
    </row>
    <row r="6" customFormat="false" ht="15" hidden="false" customHeight="false" outlineLevel="0" collapsed="false">
      <c r="A6" s="5" t="s">
        <v>166</v>
      </c>
      <c r="B6" s="24" t="n">
        <f aca="false">Inputs!$B$73</f>
        <v>0.19</v>
      </c>
      <c r="C6" s="12" t="n">
        <v>1</v>
      </c>
      <c r="D6" s="12" t="n">
        <v>1</v>
      </c>
      <c r="E6" s="12" t="n">
        <v>1</v>
      </c>
      <c r="F6" s="12" t="n">
        <v>1</v>
      </c>
      <c r="G6" s="12" t="n">
        <v>1</v>
      </c>
    </row>
    <row r="7" customFormat="false" ht="15" hidden="false" customHeight="false" outlineLevel="0" collapsed="false">
      <c r="A7" s="5" t="s">
        <v>167</v>
      </c>
      <c r="B7" s="18" t="n">
        <f aca="false">B5*B6</f>
        <v>1897.99246</v>
      </c>
      <c r="C7" s="18" t="n">
        <f aca="false">C5*C6</f>
        <v>11783.09295</v>
      </c>
      <c r="D7" s="18" t="n">
        <f aca="false">D5*D6</f>
        <v>13575.055277</v>
      </c>
      <c r="E7" s="18" t="n">
        <f aca="false">E5*E6</f>
        <v>15226.293954944</v>
      </c>
      <c r="F7" s="18" t="n">
        <f aca="false">F5*F6</f>
        <v>16819.9643595786</v>
      </c>
      <c r="G7" s="18" t="n">
        <f aca="false">G5*G6</f>
        <v>18303.509219622</v>
      </c>
    </row>
    <row r="8" customFormat="false" ht="15" hidden="false" customHeight="false" outlineLevel="0" collapsed="false">
      <c r="A8" s="5" t="s">
        <v>168</v>
      </c>
      <c r="B8" s="23" t="n">
        <f aca="false">B6/2</f>
        <v>0.095</v>
      </c>
      <c r="C8" s="23" t="n">
        <f aca="false">B6+1-0.5</f>
        <v>0.69</v>
      </c>
      <c r="D8" s="23" t="n">
        <f aca="false">B6+2-0.5</f>
        <v>1.69</v>
      </c>
      <c r="E8" s="23" t="n">
        <f aca="false">B6+3-0.5</f>
        <v>2.69</v>
      </c>
      <c r="F8" s="23" t="n">
        <f aca="false">B6+4-0.5</f>
        <v>3.69</v>
      </c>
      <c r="G8" s="23" t="n">
        <f aca="false">B6+5-0.5</f>
        <v>4.69</v>
      </c>
    </row>
    <row r="9" customFormat="false" ht="15" hidden="false" customHeight="false" outlineLevel="0" collapsed="false">
      <c r="A9" s="5" t="s">
        <v>169</v>
      </c>
      <c r="B9" s="26" t="n">
        <f aca="false">1/(1+WACC!$B$18)^B8</f>
        <v>0.990732866004546</v>
      </c>
      <c r="C9" s="26" t="n">
        <f aca="false">1/(1+WACC!$B$18)^C8</f>
        <v>0.934613245050525</v>
      </c>
      <c r="D9" s="26" t="n">
        <f aca="false">1/(1+WACC!$B$18)^D8</f>
        <v>0.847363032236406</v>
      </c>
      <c r="E9" s="26" t="n">
        <f aca="false">1/(1+WACC!$B$18)^E8</f>
        <v>0.768258006403558</v>
      </c>
      <c r="F9" s="26" t="n">
        <f aca="false">1/(1+WACC!$B$18)^F8</f>
        <v>0.69653777890856</v>
      </c>
      <c r="G9" s="26" t="n">
        <f aca="false">1/(1+WACC!$B$18)^G8</f>
        <v>0.631512946696215</v>
      </c>
    </row>
    <row r="10" customFormat="false" ht="15" hidden="false" customHeight="false" outlineLevel="0" collapsed="false">
      <c r="A10" s="4" t="s">
        <v>170</v>
      </c>
      <c r="B10" s="11" t="n">
        <f aca="false">B7*B9</f>
        <v>1880.40350955082</v>
      </c>
      <c r="C10" s="11" t="n">
        <f aca="false">C7*C9</f>
        <v>11012.6347387315</v>
      </c>
      <c r="D10" s="11" t="n">
        <f aca="false">D7*D9</f>
        <v>11503.0000022955</v>
      </c>
      <c r="E10" s="11" t="n">
        <f aca="false">E7*E9</f>
        <v>11697.7222387398</v>
      </c>
      <c r="F10" s="11" t="n">
        <f aca="false">F7*F9</f>
        <v>11715.740616342</v>
      </c>
      <c r="G10" s="11" t="n">
        <f aca="false">G7*G9</f>
        <v>11558.9030421649</v>
      </c>
    </row>
    <row r="12" customFormat="false" ht="15" hidden="false" customHeight="false" outlineLevel="0" collapsed="false">
      <c r="A12" s="4" t="s">
        <v>171</v>
      </c>
    </row>
    <row r="13" customFormat="false" ht="15" hidden="false" customHeight="false" outlineLevel="0" collapsed="false">
      <c r="A13" s="5" t="s">
        <v>172</v>
      </c>
      <c r="B13" s="24" t="n">
        <f aca="false">Inputs!$B$74</f>
        <v>0.03</v>
      </c>
    </row>
    <row r="14" customFormat="false" ht="15" hidden="false" customHeight="false" outlineLevel="0" collapsed="false">
      <c r="A14" s="5" t="s">
        <v>173</v>
      </c>
      <c r="B14" s="18" t="n">
        <f aca="false">G5*(1+B13)</f>
        <v>18852.6144962107</v>
      </c>
    </row>
    <row r="15" customFormat="false" ht="15" hidden="false" customHeight="false" outlineLevel="0" collapsed="false">
      <c r="A15" s="5" t="s">
        <v>174</v>
      </c>
      <c r="B15" s="18" t="n">
        <f aca="false">B14/(WACC!B18-B13)</f>
        <v>258372.696123325</v>
      </c>
    </row>
    <row r="16" customFormat="false" ht="15" hidden="false" customHeight="false" outlineLevel="0" collapsed="false">
      <c r="A16" s="5" t="s">
        <v>175</v>
      </c>
      <c r="B16" s="26" t="n">
        <f aca="false">1/(1+WACC!B18)^(B6+5)</f>
        <v>0.601313631722207</v>
      </c>
    </row>
    <row r="17" customFormat="false" ht="15" hidden="false" customHeight="false" outlineLevel="0" collapsed="false">
      <c r="A17" s="5" t="s">
        <v>176</v>
      </c>
      <c r="B17" s="18" t="n">
        <f aca="false">B15*B16</f>
        <v>155363.024243775</v>
      </c>
    </row>
    <row r="18" customFormat="false" ht="15" hidden="false" customHeight="false" outlineLevel="0" collapsed="false">
      <c r="A18" s="5" t="s">
        <v>177</v>
      </c>
      <c r="B18" s="27" t="n">
        <f aca="false">B15/Forecast!G12</f>
        <v>9.38784220634708</v>
      </c>
    </row>
    <row r="20" customFormat="false" ht="15" hidden="false" customHeight="false" outlineLevel="0" collapsed="false">
      <c r="A20" s="4" t="s">
        <v>178</v>
      </c>
    </row>
    <row r="21" customFormat="false" ht="15" hidden="false" customHeight="false" outlineLevel="0" collapsed="false">
      <c r="A21" s="5" t="s">
        <v>179</v>
      </c>
      <c r="B21" s="28" t="n">
        <f aca="false">Inputs!$B$75</f>
        <v>14</v>
      </c>
    </row>
    <row r="22" customFormat="false" ht="15" hidden="false" customHeight="false" outlineLevel="0" collapsed="false">
      <c r="A22" s="5" t="s">
        <v>174</v>
      </c>
      <c r="B22" s="18" t="n">
        <f aca="false">B21*Forecast!G12</f>
        <v>385308.750000183</v>
      </c>
    </row>
    <row r="23" customFormat="false" ht="15" hidden="false" customHeight="false" outlineLevel="0" collapsed="false">
      <c r="A23" s="5" t="s">
        <v>176</v>
      </c>
      <c r="B23" s="18" t="n">
        <f aca="false">B22*B16</f>
        <v>231691.403796954</v>
      </c>
    </row>
    <row r="24" customFormat="false" ht="15" hidden="false" customHeight="false" outlineLevel="0" collapsed="false">
      <c r="A24" s="5" t="s">
        <v>180</v>
      </c>
      <c r="B24" s="21" t="n">
        <f aca="false">(B22*WACC!B18-G5)/(B22+G5)</f>
        <v>0.0529480408381128</v>
      </c>
    </row>
    <row r="26" customFormat="false" ht="15" hidden="false" customHeight="false" outlineLevel="0" collapsed="false">
      <c r="A26" s="7" t="s">
        <v>181</v>
      </c>
      <c r="B26" s="8" t="s">
        <v>182</v>
      </c>
      <c r="C26" s="8" t="s">
        <v>179</v>
      </c>
      <c r="D26" s="8"/>
      <c r="E26" s="8"/>
      <c r="F26" s="8"/>
      <c r="G26" s="8"/>
      <c r="H26" s="8" t="s">
        <v>37</v>
      </c>
    </row>
    <row r="27" customFormat="false" ht="15" hidden="false" customHeight="false" outlineLevel="0" collapsed="false">
      <c r="A27" s="5" t="s">
        <v>183</v>
      </c>
      <c r="B27" s="18" t="n">
        <f aca="false">SUM(B10:G10)</f>
        <v>59368.4041478245</v>
      </c>
      <c r="C27" s="18" t="n">
        <f aca="false">B27</f>
        <v>59368.4041478245</v>
      </c>
    </row>
    <row r="28" customFormat="false" ht="15" hidden="false" customHeight="false" outlineLevel="0" collapsed="false">
      <c r="A28" s="5" t="s">
        <v>176</v>
      </c>
      <c r="B28" s="18" t="n">
        <f aca="false">B17</f>
        <v>155363.024243775</v>
      </c>
      <c r="C28" s="18" t="n">
        <f aca="false">B23</f>
        <v>231691.403796954</v>
      </c>
    </row>
    <row r="29" customFormat="false" ht="15" hidden="false" customHeight="false" outlineLevel="0" collapsed="false">
      <c r="A29" s="19" t="s">
        <v>184</v>
      </c>
      <c r="B29" s="20" t="n">
        <f aca="false">B27+B28</f>
        <v>214731.428391599</v>
      </c>
      <c r="C29" s="20" t="n">
        <f aca="false">C27+C28</f>
        <v>291059.807944778</v>
      </c>
    </row>
    <row r="30" customFormat="false" ht="15" hidden="false" customHeight="false" outlineLevel="0" collapsed="false">
      <c r="A30" s="5" t="s">
        <v>185</v>
      </c>
      <c r="B30" s="21" t="n">
        <f aca="false">B28/B29</f>
        <v>0.72352252023604</v>
      </c>
      <c r="C30" s="21" t="n">
        <f aca="false">C28/C29</f>
        <v>0.796026787184961</v>
      </c>
    </row>
    <row r="31" customFormat="false" ht="15" hidden="false" customHeight="false" outlineLevel="0" collapsed="false">
      <c r="A31" s="5" t="s">
        <v>186</v>
      </c>
      <c r="B31" s="17" t="n">
        <f aca="false">-WACC!B9</f>
        <v>-7106</v>
      </c>
      <c r="C31" s="18" t="n">
        <f aca="false">B31</f>
        <v>-7106</v>
      </c>
    </row>
    <row r="32" customFormat="false" ht="15" hidden="false" customHeight="false" outlineLevel="0" collapsed="false">
      <c r="A32" s="5" t="s">
        <v>187</v>
      </c>
      <c r="B32" s="17" t="n">
        <f aca="false">-Inputs!$B$72</f>
        <v>-0</v>
      </c>
      <c r="C32" s="18" t="n">
        <f aca="false">B32</f>
        <v>-0</v>
      </c>
    </row>
    <row r="33" customFormat="false" ht="15" hidden="false" customHeight="false" outlineLevel="0" collapsed="false">
      <c r="A33" s="19" t="s">
        <v>188</v>
      </c>
      <c r="B33" s="20" t="n">
        <f aca="false">B29+B31+B32</f>
        <v>207625.428391599</v>
      </c>
      <c r="C33" s="20" t="n">
        <f aca="false">C29+C31+C32</f>
        <v>283953.807944778</v>
      </c>
    </row>
    <row r="34" customFormat="false" ht="15" hidden="false" customHeight="false" outlineLevel="0" collapsed="false">
      <c r="A34" s="5" t="s">
        <v>189</v>
      </c>
      <c r="B34" s="17" t="n">
        <f aca="false">Inputs!$B$69</f>
        <v>4164</v>
      </c>
      <c r="C34" s="18" t="n">
        <f aca="false">B34</f>
        <v>4164</v>
      </c>
    </row>
    <row r="35" customFormat="false" ht="15" hidden="false" customHeight="false" outlineLevel="0" collapsed="false">
      <c r="A35" s="19" t="s">
        <v>190</v>
      </c>
      <c r="B35" s="29" t="n">
        <f aca="false">B33/B34</f>
        <v>49.8620145032659</v>
      </c>
      <c r="C35" s="29" t="n">
        <f aca="false">C33/C34</f>
        <v>68.1925571433184</v>
      </c>
      <c r="H35" s="10" t="s">
        <v>191</v>
      </c>
    </row>
    <row r="36" customFormat="false" ht="15" hidden="false" customHeight="false" outlineLevel="0" collapsed="false">
      <c r="A36" s="5" t="s">
        <v>192</v>
      </c>
      <c r="B36" s="30" t="n">
        <f aca="false">Inputs!$B$68</f>
        <v>65.85</v>
      </c>
      <c r="C36" s="31" t="n">
        <f aca="false">B36</f>
        <v>65.85</v>
      </c>
    </row>
    <row r="37" customFormat="false" ht="15" hidden="false" customHeight="false" outlineLevel="0" collapsed="false">
      <c r="A37" s="5" t="s">
        <v>193</v>
      </c>
      <c r="B37" s="21" t="n">
        <f aca="false">B35/B36-1</f>
        <v>-0.242794009062022</v>
      </c>
      <c r="C37" s="21" t="n">
        <f aca="false">C35/C36-1</f>
        <v>0.0355741403693006</v>
      </c>
    </row>
    <row r="38" customFormat="false" ht="15" hidden="false" customHeight="false" outlineLevel="0" collapsed="false">
      <c r="A38" s="5" t="s">
        <v>194</v>
      </c>
      <c r="B38" s="18" t="n">
        <f aca="false">WACC!B8+WACC!B9+Inputs!$B$72</f>
        <v>281305.4</v>
      </c>
    </row>
    <row r="39" customFormat="false" ht="15" hidden="false" customHeight="false" outlineLevel="0" collapsed="false">
      <c r="A39" s="5" t="s">
        <v>195</v>
      </c>
      <c r="B39" s="27" t="n">
        <f aca="false">B38/Forecast!B12</f>
        <v>17.0962672144498</v>
      </c>
    </row>
    <row r="40" customFormat="false" ht="15" hidden="false" customHeight="false" outlineLevel="0" collapsed="false">
      <c r="A40" s="5" t="s">
        <v>196</v>
      </c>
      <c r="B40" s="27" t="n">
        <f aca="false">B29/Forecast!B12</f>
        <v>13.050250294247</v>
      </c>
      <c r="C40" s="27" t="n">
        <f aca="false">C29/Forecast!B12</f>
        <v>17.6890889830425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8" min="2" style="0" width="11"/>
  </cols>
  <sheetData>
    <row r="1" customFormat="false" ht="17.35" hidden="false" customHeight="false" outlineLevel="0" collapsed="false">
      <c r="A1" s="1" t="s">
        <v>197</v>
      </c>
    </row>
    <row r="2" customFormat="false" ht="15" hidden="false" customHeight="false" outlineLevel="0" collapsed="false">
      <c r="A2" s="2" t="s">
        <v>1</v>
      </c>
    </row>
    <row r="4" customFormat="false" ht="15" hidden="false" customHeight="false" outlineLevel="0" collapsed="false">
      <c r="A4" s="4" t="s">
        <v>198</v>
      </c>
    </row>
    <row r="5" customFormat="false" ht="15" hidden="false" customHeight="false" outlineLevel="0" collapsed="false">
      <c r="A5" s="4" t="s">
        <v>199</v>
      </c>
      <c r="B5" s="12" t="n">
        <v>0.02</v>
      </c>
      <c r="C5" s="12" t="n">
        <v>0.025</v>
      </c>
      <c r="D5" s="12" t="n">
        <v>0.03</v>
      </c>
      <c r="E5" s="12" t="n">
        <v>0.035</v>
      </c>
      <c r="F5" s="12" t="n">
        <v>0.04</v>
      </c>
    </row>
    <row r="6" customFormat="false" ht="15" hidden="false" customHeight="false" outlineLevel="0" collapsed="false">
      <c r="A6" s="12" t="n">
        <v>0.08</v>
      </c>
      <c r="B6" s="31" t="n">
        <f aca="false">((SUMPRODUCT(DCF!$B$7:$G$7/(1+$A6)^DCF!$B$8:$G$8)+DCF!$G$5*(1+B$5)/($A6-B$5)/(1+$A6)^(DCF!$B$6+5))+DCF!$B$31+DCF!$B$32)/DCF!$B$34</f>
        <v>63.4884029913874</v>
      </c>
      <c r="C6" s="31" t="n">
        <f aca="false">((SUMPRODUCT(DCF!$B$7:$G$7/(1+$A6)^DCF!$B$8:$G$8)+DCF!$G$5*(1+C$5)/($A6-C$5)/(1+$A6)^(DCF!$B$6+5))+DCF!$B$31+DCF!$B$32)/DCF!$B$34</f>
        <v>68.3127014784937</v>
      </c>
      <c r="D6" s="31" t="n">
        <f aca="false">((SUMPRODUCT(DCF!$B$7:$G$7/(1+$A6)^DCF!$B$8:$G$8)+DCF!$G$5*(1+D$5)/($A6-D$5)/(1+$A6)^(DCF!$B$6+5))+DCF!$B$31+DCF!$B$32)/DCF!$B$34</f>
        <v>74.1018596630212</v>
      </c>
      <c r="E6" s="31" t="n">
        <f aca="false">((SUMPRODUCT(DCF!$B$7:$G$7/(1+$A6)^DCF!$B$8:$G$8)+DCF!$G$5*(1+E$5)/($A6-E$5)/(1+$A6)^(DCF!$B$6+5))+DCF!$B$31+DCF!$B$32)/DCF!$B$34</f>
        <v>81.1774974441104</v>
      </c>
      <c r="F6" s="31" t="n">
        <f aca="false">((SUMPRODUCT(DCF!$B$7:$G$7/(1+$A6)^DCF!$B$8:$G$8)+DCF!$G$5*(1+F$5)/($A6-F$5)/(1+$A6)^(DCF!$B$6+5))+DCF!$B$31+DCF!$B$32)/DCF!$B$34</f>
        <v>90.022044670472</v>
      </c>
    </row>
    <row r="7" customFormat="false" ht="15" hidden="false" customHeight="false" outlineLevel="0" collapsed="false">
      <c r="A7" s="12" t="n">
        <v>0.085</v>
      </c>
      <c r="B7" s="31" t="n">
        <f aca="false">((SUMPRODUCT(DCF!$B$7:$G$7/(1+$A7)^DCF!$B$8:$G$8)+DCF!$G$5*(1+B$5)/($A7-B$5)/(1+$A7)^(DCF!$B$6+5))+DCF!$B$31+DCF!$B$32)/DCF!$B$34</f>
        <v>58.3524757212548</v>
      </c>
      <c r="C7" s="31" t="n">
        <f aca="false">((SUMPRODUCT(DCF!$B$7:$G$7/(1+$A7)^DCF!$B$8:$G$8)+DCF!$G$5*(1+C$5)/($A7-C$5)/(1+$A7)^(DCF!$B$6+5))+DCF!$B$31+DCF!$B$32)/DCF!$B$34</f>
        <v>62.3563315946368</v>
      </c>
      <c r="D7" s="31" t="n">
        <f aca="false">((SUMPRODUCT(DCF!$B$7:$G$7/(1+$A7)^DCF!$B$8:$G$8)+DCF!$G$5*(1+D$5)/($A7-D$5)/(1+$A7)^(DCF!$B$6+5))+DCF!$B$31+DCF!$B$32)/DCF!$B$34</f>
        <v>67.0881612631791</v>
      </c>
      <c r="E7" s="31" t="n">
        <f aca="false">((SUMPRODUCT(DCF!$B$7:$G$7/(1+$A7)^DCF!$B$8:$G$8)+DCF!$G$5*(1+E$5)/($A7-E$5)/(1+$A7)^(DCF!$B$6+5))+DCF!$B$31+DCF!$B$32)/DCF!$B$34</f>
        <v>72.7663568654299</v>
      </c>
      <c r="F7" s="31" t="n">
        <f aca="false">((SUMPRODUCT(DCF!$B$7:$G$7/(1+$A7)^DCF!$B$8:$G$8)+DCF!$G$5*(1+F$5)/($A7-F$5)/(1+$A7)^(DCF!$B$6+5))+DCF!$B$31+DCF!$B$32)/DCF!$B$34</f>
        <v>79.7063737126253</v>
      </c>
    </row>
    <row r="8" customFormat="false" ht="15" hidden="false" customHeight="false" outlineLevel="0" collapsed="false">
      <c r="A8" s="12" t="n">
        <v>0.09</v>
      </c>
      <c r="B8" s="31" t="n">
        <f aca="false">((SUMPRODUCT(DCF!$B$7:$G$7/(1+$A8)^DCF!$B$8:$G$8)+DCF!$G$5*(1+B$5)/($A8-B$5)/(1+$A8)^(DCF!$B$6+5))+DCF!$B$31+DCF!$B$32)/DCF!$B$34</f>
        <v>53.956235399124</v>
      </c>
      <c r="C8" s="31" t="n">
        <f aca="false">((SUMPRODUCT(DCF!$B$7:$G$7/(1+$A8)^DCF!$B$8:$G$8)+DCF!$G$5*(1+C$5)/($A8-C$5)/(1+$A8)^(DCF!$B$6+5))+DCF!$B$31+DCF!$B$32)/DCF!$B$34</f>
        <v>57.3226315595654</v>
      </c>
      <c r="D8" s="31" t="n">
        <f aca="false">((SUMPRODUCT(DCF!$B$7:$G$7/(1+$A8)^DCF!$B$8:$G$8)+DCF!$G$5*(1+D$5)/($A8-D$5)/(1+$A8)^(DCF!$B$6+5))+DCF!$B$31+DCF!$B$32)/DCF!$B$34</f>
        <v>61.250093746747</v>
      </c>
      <c r="E8" s="31" t="n">
        <f aca="false">((SUMPRODUCT(DCF!$B$7:$G$7/(1+$A8)^DCF!$B$8:$G$8)+DCF!$G$5*(1+E$5)/($A8-E$5)/(1+$A8)^(DCF!$B$6+5))+DCF!$B$31+DCF!$B$32)/DCF!$B$34</f>
        <v>65.8916399679616</v>
      </c>
      <c r="F8" s="31" t="n">
        <f aca="false">((SUMPRODUCT(DCF!$B$7:$G$7/(1+$A8)^DCF!$B$8:$G$8)+DCF!$G$5*(1+F$5)/($A8-F$5)/(1+$A8)^(DCF!$B$6+5))+DCF!$B$31+DCF!$B$32)/DCF!$B$34</f>
        <v>71.4614954334191</v>
      </c>
    </row>
    <row r="9" customFormat="false" ht="15" hidden="false" customHeight="false" outlineLevel="0" collapsed="false">
      <c r="A9" s="12" t="n">
        <v>0.095</v>
      </c>
      <c r="B9" s="31" t="n">
        <f aca="false">((SUMPRODUCT(DCF!$B$7:$G$7/(1+$A9)^DCF!$B$8:$G$8)+DCF!$G$5*(1+B$5)/($A9-B$5)/(1+$A9)^(DCF!$B$6+5))+DCF!$B$31+DCF!$B$32)/DCF!$B$34</f>
        <v>50.1515292892902</v>
      </c>
      <c r="C9" s="31" t="n">
        <f aca="false">((SUMPRODUCT(DCF!$B$7:$G$7/(1+$A9)^DCF!$B$8:$G$8)+DCF!$G$5*(1+C$5)/($A9-C$5)/(1+$A9)^(DCF!$B$6+5))+DCF!$B$31+DCF!$B$32)/DCF!$B$34</f>
        <v>53.0136581507287</v>
      </c>
      <c r="D9" s="31" t="n">
        <f aca="false">((SUMPRODUCT(DCF!$B$7:$G$7/(1+$A9)^DCF!$B$8:$G$8)+DCF!$G$5*(1+D$5)/($A9-D$5)/(1+$A9)^(DCF!$B$6+5))+DCF!$B$31+DCF!$B$32)/DCF!$B$34</f>
        <v>56.3161145293116</v>
      </c>
      <c r="E9" s="31" t="n">
        <f aca="false">((SUMPRODUCT(DCF!$B$7:$G$7/(1+$A9)^DCF!$B$8:$G$8)+DCF!$G$5*(1+E$5)/($A9-E$5)/(1+$A9)^(DCF!$B$6+5))+DCF!$B$31+DCF!$B$32)/DCF!$B$34</f>
        <v>60.168980304325</v>
      </c>
      <c r="F9" s="31" t="n">
        <f aca="false">((SUMPRODUCT(DCF!$B$7:$G$7/(1+$A9)^DCF!$B$8:$G$8)+DCF!$G$5*(1+F$5)/($A9-F$5)/(1+$A9)^(DCF!$B$6+5))+DCF!$B$31+DCF!$B$32)/DCF!$B$34</f>
        <v>64.7223671293409</v>
      </c>
    </row>
    <row r="10" customFormat="false" ht="15" hidden="false" customHeight="false" outlineLevel="0" collapsed="false">
      <c r="A10" s="12" t="n">
        <v>0.1</v>
      </c>
      <c r="B10" s="31" t="n">
        <f aca="false">((SUMPRODUCT(DCF!$B$7:$G$7/(1+$A10)^DCF!$B$8:$G$8)+DCF!$G$5*(1+B$5)/($A10-B$5)/(1+$A10)^(DCF!$B$6+5))+DCF!$B$31+DCF!$B$32)/DCF!$B$34</f>
        <v>46.8272513370534</v>
      </c>
      <c r="C10" s="31" t="n">
        <f aca="false">((SUMPRODUCT(DCF!$B$7:$G$7/(1+$A10)^DCF!$B$8:$G$8)+DCF!$G$5*(1+C$5)/($A10-C$5)/(1+$A10)^(DCF!$B$6+5))+DCF!$B$31+DCF!$B$32)/DCF!$B$34</f>
        <v>49.2842620192106</v>
      </c>
      <c r="D10" s="31" t="n">
        <f aca="false">((SUMPRODUCT(DCF!$B$7:$G$7/(1+$A10)^DCF!$B$8:$G$8)+DCF!$G$5*(1+D$5)/($A10-D$5)/(1+$A10)^(DCF!$B$6+5))+DCF!$B$31+DCF!$B$32)/DCF!$B$34</f>
        <v>52.0922742273904</v>
      </c>
      <c r="E10" s="31" t="n">
        <f aca="false">((SUMPRODUCT(DCF!$B$7:$G$7/(1+$A10)^DCF!$B$8:$G$8)+DCF!$G$5*(1+E$5)/($A10-E$5)/(1+$A10)^(DCF!$B$6+5))+DCF!$B$31+DCF!$B$32)/DCF!$B$34</f>
        <v>55.3322883137516</v>
      </c>
      <c r="F10" s="31" t="n">
        <f aca="false">((SUMPRODUCT(DCF!$B$7:$G$7/(1+$A10)^DCF!$B$8:$G$8)+DCF!$G$5*(1+F$5)/($A10-F$5)/(1+$A10)^(DCF!$B$6+5))+DCF!$B$31+DCF!$B$32)/DCF!$B$34</f>
        <v>59.1123047478396</v>
      </c>
    </row>
    <row r="11" customFormat="false" ht="15" hidden="false" customHeight="false" outlineLevel="0" collapsed="false">
      <c r="A11" s="12" t="n">
        <v>0.105</v>
      </c>
      <c r="B11" s="31" t="n">
        <f aca="false">((SUMPRODUCT(DCF!$B$7:$G$7/(1+$A11)^DCF!$B$8:$G$8)+DCF!$G$5*(1+B$5)/($A11-B$5)/(1+$A11)^(DCF!$B$6+5))+DCF!$B$31+DCF!$B$32)/DCF!$B$34</f>
        <v>43.8984457197423</v>
      </c>
      <c r="C11" s="31" t="n">
        <f aca="false">((SUMPRODUCT(DCF!$B$7:$G$7/(1+$A11)^DCF!$B$8:$G$8)+DCF!$G$5*(1+C$5)/($A11-C$5)/(1+$A11)^(DCF!$B$6+5))+DCF!$B$31+DCF!$B$32)/DCF!$B$34</f>
        <v>46.025589215952</v>
      </c>
      <c r="D11" s="31" t="n">
        <f aca="false">((SUMPRODUCT(DCF!$B$7:$G$7/(1+$A11)^DCF!$B$8:$G$8)+DCF!$G$5*(1+D$5)/($A11-D$5)/(1+$A11)^(DCF!$B$6+5))+DCF!$B$31+DCF!$B$32)/DCF!$B$34</f>
        <v>48.4363518449897</v>
      </c>
      <c r="E11" s="31" t="n">
        <f aca="false">((SUMPRODUCT(DCF!$B$7:$G$7/(1+$A11)^DCF!$B$8:$G$8)+DCF!$G$5*(1+E$5)/($A11-E$5)/(1+$A11)^(DCF!$B$6+5))+DCF!$B$31+DCF!$B$32)/DCF!$B$34</f>
        <v>51.1915091353185</v>
      </c>
      <c r="F11" s="31" t="n">
        <f aca="false">((SUMPRODUCT(DCF!$B$7:$G$7/(1+$A11)^DCF!$B$8:$G$8)+DCF!$G$5*(1+F$5)/($A11-F$5)/(1+$A11)^(DCF!$B$6+5))+DCF!$B$31+DCF!$B$32)/DCF!$B$34</f>
        <v>54.3705367780056</v>
      </c>
    </row>
    <row r="12" customFormat="false" ht="15" hidden="false" customHeight="false" outlineLevel="0" collapsed="false">
      <c r="A12" s="12" t="n">
        <v>0.11</v>
      </c>
      <c r="B12" s="31" t="n">
        <f aca="false">((SUMPRODUCT(DCF!$B$7:$G$7/(1+$A12)^DCF!$B$8:$G$8)+DCF!$G$5*(1+B$5)/($A12-B$5)/(1+$A12)^(DCF!$B$6+5))+DCF!$B$31+DCF!$B$32)/DCF!$B$34</f>
        <v>41.2990425645487</v>
      </c>
      <c r="C12" s="31" t="n">
        <f aca="false">((SUMPRODUCT(DCF!$B$7:$G$7/(1+$A12)^DCF!$B$8:$G$8)+DCF!$G$5*(1+C$5)/($A12-C$5)/(1+$A12)^(DCF!$B$6+5))+DCF!$B$31+DCF!$B$32)/DCF!$B$34</f>
        <v>43.1544057268678</v>
      </c>
      <c r="D12" s="31" t="n">
        <f aca="false">((SUMPRODUCT(DCF!$B$7:$G$7/(1+$A12)^DCF!$B$8:$G$8)+DCF!$G$5*(1+D$5)/($A12-D$5)/(1+$A12)^(DCF!$B$6+5))+DCF!$B$31+DCF!$B$32)/DCF!$B$34</f>
        <v>45.2416892844768</v>
      </c>
      <c r="E12" s="31" t="n">
        <f aca="false">((SUMPRODUCT(DCF!$B$7:$G$7/(1+$A12)^DCF!$B$8:$G$8)+DCF!$G$5*(1+E$5)/($A12-E$5)/(1+$A12)^(DCF!$B$6+5))+DCF!$B$31+DCF!$B$32)/DCF!$B$34</f>
        <v>47.6072773164336</v>
      </c>
      <c r="F12" s="31" t="n">
        <f aca="false">((SUMPRODUCT(DCF!$B$7:$G$7/(1+$A12)^DCF!$B$8:$G$8)+DCF!$G$5*(1+F$5)/($A12-F$5)/(1+$A12)^(DCF!$B$6+5))+DCF!$B$31+DCF!$B$32)/DCF!$B$34</f>
        <v>50.3108064958128</v>
      </c>
    </row>
    <row r="15" customFormat="false" ht="15" hidden="false" customHeight="false" outlineLevel="0" collapsed="false">
      <c r="A15" s="4" t="s">
        <v>200</v>
      </c>
    </row>
    <row r="16" customFormat="false" ht="15" hidden="false" customHeight="false" outlineLevel="0" collapsed="false">
      <c r="A16" s="4" t="s">
        <v>201</v>
      </c>
      <c r="B16" s="16" t="n">
        <v>10</v>
      </c>
      <c r="C16" s="16" t="n">
        <v>12</v>
      </c>
      <c r="D16" s="16" t="n">
        <v>14</v>
      </c>
      <c r="E16" s="16" t="n">
        <v>16</v>
      </c>
      <c r="F16" s="16" t="n">
        <v>18</v>
      </c>
    </row>
    <row r="17" customFormat="false" ht="15" hidden="false" customHeight="false" outlineLevel="0" collapsed="false">
      <c r="A17" s="12" t="n">
        <v>0.08</v>
      </c>
      <c r="B17" s="31" t="n">
        <f aca="false">((SUMPRODUCT(DCF!$B$7:$G$7/(1+$A17)^DCF!$B$8:$G$8)+B$16*Forecast!$G$12/(1+$A17)^(DCF!$B$6+5))+DCF!$B$31+DCF!$B$32)/DCF!$B$34</f>
        <v>57.6996177314347</v>
      </c>
      <c r="C17" s="31" t="n">
        <f aca="false">((SUMPRODUCT(DCF!$B$7:$G$7/(1+$A17)^DCF!$B$8:$G$8)+C$16*Forecast!$G$12/(1+$A17)^(DCF!$B$6+5))+DCF!$B$31+DCF!$B$32)/DCF!$B$34</f>
        <v>66.5656808693205</v>
      </c>
      <c r="D17" s="31" t="n">
        <f aca="false">((SUMPRODUCT(DCF!$B$7:$G$7/(1+$A17)^DCF!$B$8:$G$8)+D$16*Forecast!$G$12/(1+$A17)^(DCF!$B$6+5))+DCF!$B$31+DCF!$B$32)/DCF!$B$34</f>
        <v>75.4317440072064</v>
      </c>
      <c r="E17" s="31" t="n">
        <f aca="false">((SUMPRODUCT(DCF!$B$7:$G$7/(1+$A17)^DCF!$B$8:$G$8)+E$16*Forecast!$G$12/(1+$A17)^(DCF!$B$6+5))+DCF!$B$31+DCF!$B$32)/DCF!$B$34</f>
        <v>84.2978071450922</v>
      </c>
      <c r="F17" s="31" t="n">
        <f aca="false">((SUMPRODUCT(DCF!$B$7:$G$7/(1+$A17)^DCF!$B$8:$G$8)+F$16*Forecast!$G$12/(1+$A17)^(DCF!$B$6+5))+DCF!$B$31+DCF!$B$32)/DCF!$B$34</f>
        <v>93.1638702829781</v>
      </c>
    </row>
    <row r="18" customFormat="false" ht="15" hidden="false" customHeight="false" outlineLevel="0" collapsed="false">
      <c r="A18" s="12" t="n">
        <v>0.085</v>
      </c>
      <c r="B18" s="31" t="n">
        <f aca="false">((SUMPRODUCT(DCF!$B$7:$G$7/(1+$A18)^DCF!$B$8:$G$8)+B$16*Forecast!$G$12/(1+$A18)^(DCF!$B$6+5))+DCF!$B$31+DCF!$B$32)/DCF!$B$34</f>
        <v>56.4648045499758</v>
      </c>
      <c r="C18" s="31" t="n">
        <f aca="false">((SUMPRODUCT(DCF!$B$7:$G$7/(1+$A18)^DCF!$B$8:$G$8)+C$16*Forecast!$G$12/(1+$A18)^(DCF!$B$6+5))+DCF!$B$31+DCF!$B$32)/DCF!$B$34</f>
        <v>65.1208548116085</v>
      </c>
      <c r="D18" s="31" t="n">
        <f aca="false">((SUMPRODUCT(DCF!$B$7:$G$7/(1+$A18)^DCF!$B$8:$G$8)+D$16*Forecast!$G$12/(1+$A18)^(DCF!$B$6+5))+DCF!$B$31+DCF!$B$32)/DCF!$B$34</f>
        <v>73.7769050732412</v>
      </c>
      <c r="E18" s="31" t="n">
        <f aca="false">((SUMPRODUCT(DCF!$B$7:$G$7/(1+$A18)^DCF!$B$8:$G$8)+E$16*Forecast!$G$12/(1+$A18)^(DCF!$B$6+5))+DCF!$B$31+DCF!$B$32)/DCF!$B$34</f>
        <v>82.432955334874</v>
      </c>
      <c r="F18" s="31" t="n">
        <f aca="false">((SUMPRODUCT(DCF!$B$7:$G$7/(1+$A18)^DCF!$B$8:$G$8)+F$16*Forecast!$G$12/(1+$A18)^(DCF!$B$6+5))+DCF!$B$31+DCF!$B$32)/DCF!$B$34</f>
        <v>91.0890055965067</v>
      </c>
    </row>
    <row r="19" customFormat="false" ht="15" hidden="false" customHeight="false" outlineLevel="0" collapsed="false">
      <c r="A19" s="12" t="n">
        <v>0.09</v>
      </c>
      <c r="B19" s="31" t="n">
        <f aca="false">((SUMPRODUCT(DCF!$B$7:$G$7/(1+$A19)^DCF!$B$8:$G$8)+B$16*Forecast!$G$12/(1+$A19)^(DCF!$B$6+5))+DCF!$B$31+DCF!$B$32)/DCF!$B$34</f>
        <v>55.2632804571736</v>
      </c>
      <c r="C19" s="31" t="n">
        <f aca="false">((SUMPRODUCT(DCF!$B$7:$G$7/(1+$A19)^DCF!$B$8:$G$8)+C$16*Forecast!$G$12/(1+$A19)^(DCF!$B$6+5))+DCF!$B$31+DCF!$B$32)/DCF!$B$34</f>
        <v>63.7152239802427</v>
      </c>
      <c r="D19" s="31" t="n">
        <f aca="false">((SUMPRODUCT(DCF!$B$7:$G$7/(1+$A19)^DCF!$B$8:$G$8)+D$16*Forecast!$G$12/(1+$A19)^(DCF!$B$6+5))+DCF!$B$31+DCF!$B$32)/DCF!$B$34</f>
        <v>72.1671675033118</v>
      </c>
      <c r="E19" s="31" t="n">
        <f aca="false">((SUMPRODUCT(DCF!$B$7:$G$7/(1+$A19)^DCF!$B$8:$G$8)+E$16*Forecast!$G$12/(1+$A19)^(DCF!$B$6+5))+DCF!$B$31+DCF!$B$32)/DCF!$B$34</f>
        <v>80.619111026381</v>
      </c>
      <c r="F19" s="31" t="n">
        <f aca="false">((SUMPRODUCT(DCF!$B$7:$G$7/(1+$A19)^DCF!$B$8:$G$8)+F$16*Forecast!$G$12/(1+$A19)^(DCF!$B$6+5))+DCF!$B$31+DCF!$B$32)/DCF!$B$34</f>
        <v>89.0710545494501</v>
      </c>
    </row>
    <row r="20" customFormat="false" ht="15" hidden="false" customHeight="false" outlineLevel="0" collapsed="false">
      <c r="A20" s="12" t="n">
        <v>0.095</v>
      </c>
      <c r="B20" s="31" t="n">
        <f aca="false">((SUMPRODUCT(DCF!$B$7:$G$7/(1+$A20)^DCF!$B$8:$G$8)+B$16*Forecast!$G$12/(1+$A20)^(DCF!$B$6+5))+DCF!$B$31+DCF!$B$32)/DCF!$B$34</f>
        <v>54.0939866879061</v>
      </c>
      <c r="C20" s="31" t="n">
        <f aca="false">((SUMPRODUCT(DCF!$B$7:$G$7/(1+$A20)^DCF!$B$8:$G$8)+C$16*Forecast!$G$12/(1+$A20)^(DCF!$B$6+5))+DCF!$B$31+DCF!$B$32)/DCF!$B$34</f>
        <v>62.3475375541758</v>
      </c>
      <c r="D20" s="31" t="n">
        <f aca="false">((SUMPRODUCT(DCF!$B$7:$G$7/(1+$A20)^DCF!$B$8:$G$8)+D$16*Forecast!$G$12/(1+$A20)^(DCF!$B$6+5))+DCF!$B$31+DCF!$B$32)/DCF!$B$34</f>
        <v>70.6010884204455</v>
      </c>
      <c r="E20" s="31" t="n">
        <f aca="false">((SUMPRODUCT(DCF!$B$7:$G$7/(1+$A20)^DCF!$B$8:$G$8)+E$16*Forecast!$G$12/(1+$A20)^(DCF!$B$6+5))+DCF!$B$31+DCF!$B$32)/DCF!$B$34</f>
        <v>78.8546392867153</v>
      </c>
      <c r="F20" s="31" t="n">
        <f aca="false">((SUMPRODUCT(DCF!$B$7:$G$7/(1+$A20)^DCF!$B$8:$G$8)+F$16*Forecast!$G$12/(1+$A20)^(DCF!$B$6+5))+DCF!$B$31+DCF!$B$32)/DCF!$B$34</f>
        <v>87.108190152985</v>
      </c>
    </row>
    <row r="21" customFormat="false" ht="15" hidden="false" customHeight="false" outlineLevel="0" collapsed="false">
      <c r="A21" s="12" t="n">
        <v>0.1</v>
      </c>
      <c r="B21" s="31" t="n">
        <f aca="false">((SUMPRODUCT(DCF!$B$7:$G$7/(1+$A21)^DCF!$B$8:$G$8)+B$16*Forecast!$G$12/(1+$A21)^(DCF!$B$6+5))+DCF!$B$31+DCF!$B$32)/DCF!$B$34</f>
        <v>52.9559029798985</v>
      </c>
      <c r="C21" s="31" t="n">
        <f aca="false">((SUMPRODUCT(DCF!$B$7:$G$7/(1+$A21)^DCF!$B$8:$G$8)+C$16*Forecast!$G$12/(1+$A21)^(DCF!$B$6+5))+DCF!$B$31+DCF!$B$32)/DCF!$B$34</f>
        <v>61.0165902970141</v>
      </c>
      <c r="D21" s="31" t="n">
        <f aca="false">((SUMPRODUCT(DCF!$B$7:$G$7/(1+$A21)^DCF!$B$8:$G$8)+D$16*Forecast!$G$12/(1+$A21)^(DCF!$B$6+5))+DCF!$B$31+DCF!$B$32)/DCF!$B$34</f>
        <v>69.0772776141297</v>
      </c>
      <c r="E21" s="31" t="n">
        <f aca="false">((SUMPRODUCT(DCF!$B$7:$G$7/(1+$A21)^DCF!$B$8:$G$8)+E$16*Forecast!$G$12/(1+$A21)^(DCF!$B$6+5))+DCF!$B$31+DCF!$B$32)/DCF!$B$34</f>
        <v>77.1379649312453</v>
      </c>
      <c r="F21" s="31" t="n">
        <f aca="false">((SUMPRODUCT(DCF!$B$7:$G$7/(1+$A21)^DCF!$B$8:$G$8)+F$16*Forecast!$G$12/(1+$A21)^(DCF!$B$6+5))+DCF!$B$31+DCF!$B$32)/DCF!$B$34</f>
        <v>85.1986522483608</v>
      </c>
    </row>
    <row r="22" customFormat="false" ht="15" hidden="false" customHeight="false" outlineLevel="0" collapsed="false">
      <c r="A22" s="12" t="n">
        <v>0.105</v>
      </c>
      <c r="B22" s="31" t="n">
        <f aca="false">((SUMPRODUCT(DCF!$B$7:$G$7/(1+$A22)^DCF!$B$8:$G$8)+B$16*Forecast!$G$12/(1+$A22)^(DCF!$B$6+5))+DCF!$B$31+DCF!$B$32)/DCF!$B$34</f>
        <v>51.8480460029177</v>
      </c>
      <c r="C22" s="31" t="n">
        <f aca="false">((SUMPRODUCT(DCF!$B$7:$G$7/(1+$A22)^DCF!$B$8:$G$8)+C$16*Forecast!$G$12/(1+$A22)^(DCF!$B$6+5))+DCF!$B$31+DCF!$B$32)/DCF!$B$34</f>
        <v>59.7212206945107</v>
      </c>
      <c r="D22" s="31" t="n">
        <f aca="false">((SUMPRODUCT(DCF!$B$7:$G$7/(1+$A22)^DCF!$B$8:$G$8)+D$16*Forecast!$G$12/(1+$A22)^(DCF!$B$6+5))+DCF!$B$31+DCF!$B$32)/DCF!$B$34</f>
        <v>67.5943953861037</v>
      </c>
      <c r="E22" s="31" t="n">
        <f aca="false">((SUMPRODUCT(DCF!$B$7:$G$7/(1+$A22)^DCF!$B$8:$G$8)+E$16*Forecast!$G$12/(1+$A22)^(DCF!$B$6+5))+DCF!$B$31+DCF!$B$32)/DCF!$B$34</f>
        <v>75.4675700776967</v>
      </c>
      <c r="F22" s="31" t="n">
        <f aca="false">((SUMPRODUCT(DCF!$B$7:$G$7/(1+$A22)^DCF!$B$8:$G$8)+F$16*Forecast!$G$12/(1+$A22)^(DCF!$B$6+5))+DCF!$B$31+DCF!$B$32)/DCF!$B$34</f>
        <v>83.3407447692897</v>
      </c>
    </row>
    <row r="23" customFormat="false" ht="15" hidden="false" customHeight="false" outlineLevel="0" collapsed="false">
      <c r="A23" s="12" t="n">
        <v>0.11</v>
      </c>
      <c r="B23" s="31" t="n">
        <f aca="false">((SUMPRODUCT(DCF!$B$7:$G$7/(1+$A23)^DCF!$B$8:$G$8)+B$16*Forecast!$G$12/(1+$A23)^(DCF!$B$6+5))+DCF!$B$31+DCF!$B$32)/DCF!$B$34</f>
        <v>50.7694678588829</v>
      </c>
      <c r="C23" s="31" t="n">
        <f aca="false">((SUMPRODUCT(DCF!$B$7:$G$7/(1+$A23)^DCF!$B$8:$G$8)+C$16*Forecast!$G$12/(1+$A23)^(DCF!$B$6+5))+DCF!$B$31+DCF!$B$32)/DCF!$B$34</f>
        <v>58.4603091762386</v>
      </c>
      <c r="D23" s="31" t="n">
        <f aca="false">((SUMPRODUCT(DCF!$B$7:$G$7/(1+$A23)^DCF!$B$8:$G$8)+D$16*Forecast!$G$12/(1+$A23)^(DCF!$B$6+5))+DCF!$B$31+DCF!$B$32)/DCF!$B$34</f>
        <v>66.1511504935943</v>
      </c>
      <c r="E23" s="31" t="n">
        <f aca="false">((SUMPRODUCT(DCF!$B$7:$G$7/(1+$A23)^DCF!$B$8:$G$8)+E$16*Forecast!$G$12/(1+$A23)^(DCF!$B$6+5))+DCF!$B$31+DCF!$B$32)/DCF!$B$34</f>
        <v>73.8419918109499</v>
      </c>
      <c r="F23" s="31" t="n">
        <f aca="false">((SUMPRODUCT(DCF!$B$7:$G$7/(1+$A23)^DCF!$B$8:$G$8)+F$16*Forecast!$G$12/(1+$A23)^(DCF!$B$6+5))+DCF!$B$31+DCF!$B$32)/DCF!$B$34</f>
        <v>81.5328331283056</v>
      </c>
    </row>
    <row r="26" customFormat="false" ht="15" hidden="false" customHeight="false" outlineLevel="0" collapsed="false">
      <c r="A26" s="4" t="s">
        <v>202</v>
      </c>
    </row>
    <row r="27" customFormat="false" ht="15" hidden="false" customHeight="false" outlineLevel="0" collapsed="false">
      <c r="A27" s="4" t="s">
        <v>203</v>
      </c>
      <c r="B27" s="4" t="s">
        <v>204</v>
      </c>
      <c r="C27" s="4" t="s">
        <v>205</v>
      </c>
      <c r="D27" s="4" t="s">
        <v>206</v>
      </c>
    </row>
    <row r="28" customFormat="false" ht="15" hidden="false" customHeight="false" outlineLevel="0" collapsed="false">
      <c r="A28" s="5" t="s">
        <v>207</v>
      </c>
      <c r="B28" s="9" t="n">
        <v>27522.0535714416</v>
      </c>
      <c r="C28" s="15" t="n">
        <v>49.8620145032659</v>
      </c>
      <c r="D28" s="15" t="n">
        <v>68.1925571433184</v>
      </c>
    </row>
    <row r="29" customFormat="false" ht="15" hidden="false" customHeight="false" outlineLevel="0" collapsed="false">
      <c r="A29" s="5" t="s">
        <v>208</v>
      </c>
      <c r="B29" s="9" t="n">
        <v>19754.074665864</v>
      </c>
      <c r="C29" s="15" t="n">
        <v>34.0734301571549</v>
      </c>
      <c r="D29" s="15" t="n">
        <v>48.9647327281808</v>
      </c>
    </row>
    <row r="30" customFormat="false" ht="15" hidden="false" customHeight="false" outlineLevel="0" collapsed="false">
      <c r="A30" s="5" t="s">
        <v>209</v>
      </c>
      <c r="B30" s="9" t="n">
        <v>33050.276736984</v>
      </c>
      <c r="C30" s="15" t="n">
        <v>60.784754878536</v>
      </c>
      <c r="D30" s="15" t="n">
        <v>81.5454621618723</v>
      </c>
    </row>
    <row r="32" customFormat="false" ht="15" hidden="false" customHeight="false" outlineLevel="0" collapsed="false">
      <c r="A32" s="5" t="s">
        <v>210</v>
      </c>
      <c r="B32" s="30" t="n">
        <f aca="false">Inputs!$B$68</f>
        <v>65.85</v>
      </c>
    </row>
    <row r="33" customFormat="false" ht="15" hidden="false" customHeight="false" outlineLevel="0" collapsed="false">
      <c r="A33" s="2" t="s">
        <v>211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20"/>
  </cols>
  <sheetData>
    <row r="1" customFormat="false" ht="17.35" hidden="false" customHeight="false" outlineLevel="0" collapsed="false">
      <c r="A1" s="1" t="s">
        <v>212</v>
      </c>
    </row>
    <row r="2" customFormat="false" ht="15" hidden="false" customHeight="false" outlineLevel="0" collapsed="false">
      <c r="A2" s="2" t="s">
        <v>1</v>
      </c>
    </row>
    <row r="4" customFormat="false" ht="15" hidden="false" customHeight="false" outlineLevel="0" collapsed="false">
      <c r="A4" s="7" t="s">
        <v>213</v>
      </c>
      <c r="B4" s="8" t="s">
        <v>13</v>
      </c>
    </row>
    <row r="5" customFormat="false" ht="15" hidden="false" customHeight="false" outlineLevel="0" collapsed="false">
      <c r="A5" s="5" t="n">
        <v>1</v>
      </c>
      <c r="B5" s="5" t="s">
        <v>214</v>
      </c>
    </row>
    <row r="6" customFormat="false" ht="15" hidden="false" customHeight="false" outlineLevel="0" collapsed="false">
      <c r="A6" s="5" t="n">
        <v>2</v>
      </c>
      <c r="B6" s="5" t="s">
        <v>215</v>
      </c>
    </row>
    <row r="7" customFormat="false" ht="15" hidden="false" customHeight="false" outlineLevel="0" collapsed="false">
      <c r="A7" s="5" t="n">
        <v>3</v>
      </c>
      <c r="B7" s="5" t="s">
        <v>216</v>
      </c>
    </row>
    <row r="8" customFormat="false" ht="15" hidden="false" customHeight="false" outlineLevel="0" collapsed="false">
      <c r="A8" s="5" t="n">
        <v>4</v>
      </c>
      <c r="B8" s="5" t="s">
        <v>217</v>
      </c>
    </row>
    <row r="9" customFormat="false" ht="15" hidden="false" customHeight="false" outlineLevel="0" collapsed="false">
      <c r="A9" s="5" t="n">
        <v>5</v>
      </c>
      <c r="B9" s="5" t="s">
        <v>218</v>
      </c>
    </row>
    <row r="10" customFormat="false" ht="15" hidden="false" customHeight="false" outlineLevel="0" collapsed="false">
      <c r="A10" s="5" t="n">
        <v>6</v>
      </c>
      <c r="B10" s="5" t="s">
        <v>219</v>
      </c>
    </row>
    <row r="11" customFormat="false" ht="15" hidden="false" customHeight="false" outlineLevel="0" collapsed="false">
      <c r="A11" s="5" t="n">
        <v>7</v>
      </c>
      <c r="B11" s="5" t="s">
        <v>220</v>
      </c>
    </row>
    <row r="12" customFormat="false" ht="15" hidden="false" customHeight="false" outlineLevel="0" collapsed="false">
      <c r="A12" s="5" t="n">
        <v>8</v>
      </c>
      <c r="B12" s="5" t="s">
        <v>221</v>
      </c>
    </row>
    <row r="13" customFormat="false" ht="15" hidden="false" customHeight="false" outlineLevel="0" collapsed="false">
      <c r="A13" s="5" t="n">
        <v>9</v>
      </c>
      <c r="B13" s="5" t="s">
        <v>222</v>
      </c>
    </row>
    <row r="14" customFormat="false" ht="15" hidden="false" customHeight="false" outlineLevel="0" collapsed="false">
      <c r="A14" s="5" t="n">
        <v>10</v>
      </c>
      <c r="B14" s="5" t="s">
        <v>223</v>
      </c>
    </row>
    <row r="16" customFormat="false" ht="15" hidden="false" customHeight="false" outlineLevel="0" collapsed="false">
      <c r="B16" s="2" t="s">
        <v>224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2026-10-25T00:49:03Z</dcterms:created>
  <dc:creator>openpyxl</dc:creator>
  <dc:description/>
  <dc:language>en-US</dc:language>
  <cp:lastModifiedBy/>
  <dcterms:modified xsi:type="dcterms:W3CDTF">2026-10-25T00:49:03Z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