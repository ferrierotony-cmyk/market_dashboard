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mps" sheetId="2" state="visible" r:id="rId4"/>
    <sheet name="Cushion" sheetId="3" state="visible" r:id="rId5"/>
    <sheet name="Capacity" sheetId="4" state="visible" r:id="rId6"/>
    <sheet name="Skydance path" sheetId="5" state="visible" r:id="rId7"/>
    <sheet name="Levels"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<sst xmlns="http://schemas.openxmlformats.org/spreadsheetml/2006/main" count="219" uniqueCount="181">
  <si>
    <t xml:space="preserve">Media credit comps: read me first</t>
  </si>
  <si>
    <t xml:space="preserve">USD millions unless labelled. Blue = input, black = formula. Built October 25, 2026 from the five DCF models on this site and the sources listed.</t>
  </si>
  <si>
    <t xml:space="preserve">What this is: the five companies from my DCF models, Skydance, Netflix, Disney, Comcast and Fox, lined up the way a debt capital markets or syndicate desk would line them up before a deal. Leverage first, then coverage, cash flow against debt, the equity cushion under the debt, and where each one's paper prices or would price.</t>
  </si>
  <si>
    <t xml:space="preserve">Why: the DCF models answer what the equity is worth. A desk asks a different question: how much debt can this balance sheet carry, at what spread, and how much can go wrong before the bonds are impaired. This workbook takes the same base year figures from the five models and answers that.</t>
  </si>
  <si>
    <t xml:space="preserve">Sheets: Comps is the main table. Cushion shows what an EBITDA miss does to the equity under the debt. Capacity shows how much debt each company could add or must cut to hit a leverage target. Skydance path walks its net leverage year by year against management's 3.0 times target. Levels lists the sourced trading levels and ratings. Sources is numbered.</t>
  </si>
  <si>
    <t xml:space="preserve">Every base year figure links to the matching DCF model's Inputs sheet by value, with the model named. Interest expense is sourced where a filing gave it and estimated as gross debt times the model's cost of debt where it did not, and the Comps sheet says which is which.</t>
  </si>
  <si>
    <t xml:space="preserve">Nothing here is a recommendation. No Bloomberg Terminal data and nothing from any employer. Market data as of October 22 and 23, 2026.</t>
  </si>
  <si>
    <t xml:space="preserve">Credit comps across the five models</t>
  </si>
  <si>
    <t xml:space="preserve">Line</t>
  </si>
  <si>
    <t xml:space="preserve">Skydance</t>
  </si>
  <si>
    <t xml:space="preserve">Netflix</t>
  </si>
  <si>
    <t xml:space="preserve">Disney</t>
  </si>
  <si>
    <t xml:space="preserve">Comcast</t>
  </si>
  <si>
    <t xml:space="preserve">Fox</t>
  </si>
  <si>
    <t xml:space="preserve">Basis</t>
  </si>
  <si>
    <t xml:space="preserve">Ticker</t>
  </si>
  <si>
    <t xml:space="preserve">SKYD</t>
  </si>
  <si>
    <t xml:space="preserve">NFLX</t>
  </si>
  <si>
    <t xml:space="preserve">DIS</t>
  </si>
  <si>
    <t xml:space="preserve">CMCSA</t>
  </si>
  <si>
    <t xml:space="preserve">FOXA</t>
  </si>
  <si>
    <t xml:space="preserve">NYSE, Nasdaq, NYSE, Nasdaq, Nasdaq</t>
  </si>
  <si>
    <t xml:space="preserve">Base year</t>
  </si>
  <si>
    <t xml:space="preserve">2026E</t>
  </si>
  <si>
    <t xml:space="preserve">FY2026E</t>
  </si>
  <si>
    <t xml:space="preserve">FY2026</t>
  </si>
  <si>
    <t xml:space="preserve">Same base year as each DCF model. Disney and Fox are fiscal years ending September and June.</t>
  </si>
  <si>
    <t xml:space="preserve">Revenue</t>
  </si>
  <si>
    <t xml:space="preserve">DCF model Inputs sheet of each company.</t>
  </si>
  <si>
    <t xml:space="preserve">Adjusted EBITDA</t>
  </si>
  <si>
    <t xml:space="preserve">DCF model Forecast, first year. Skydance before synergies. Netflix is operating income plus property depreciation.</t>
  </si>
  <si>
    <t xml:space="preserve">EBITDA margin</t>
  </si>
  <si>
    <t xml:space="preserve">EBITDA over revenue</t>
  </si>
  <si>
    <t xml:space="preserve">Gross debt</t>
  </si>
  <si>
    <t xml:space="preserve">Latest balance sheet in each model. Skydance at close per Debtwire [1].</t>
  </si>
  <si>
    <t xml:space="preserve">Cash</t>
  </si>
  <si>
    <t xml:space="preserve">Same.</t>
  </si>
  <si>
    <t xml:space="preserve">Net debt</t>
  </si>
  <si>
    <t xml:space="preserve">Gross debt less cash</t>
  </si>
  <si>
    <t xml:space="preserve">Gross leverage, debt to EBITDA</t>
  </si>
  <si>
    <t xml:space="preserve">Net leverage, net debt to EBITDA</t>
  </si>
  <si>
    <t xml:space="preserve">The first number any desk asks for.</t>
  </si>
  <si>
    <t xml:space="preserve">Interest expense</t>
  </si>
  <si>
    <t xml:space="preserve">Comcast FY2025 4,409 [4] and Disney FY2025 net 1,305 [3] are reported. Skydance, Netflix and Fox are estimates: gross debt times a blended coupon, 7.5, 5.0 and 5.5 percent, which is below today's marginal cost because most of their debt was issued earlier. Flagged.</t>
  </si>
  <si>
    <t xml:space="preserve">Interest coverage, EBITDA to interest</t>
  </si>
  <si>
    <t xml:space="preserve">Below 2 times is where covenants and ratings start to bite.</t>
  </si>
  <si>
    <t xml:space="preserve">Unlevered free cash flow, first forecast year</t>
  </si>
  <si>
    <t xml:space="preserve">DCF model Forecast, first year, before interest.</t>
  </si>
  <si>
    <t xml:space="preserve">Free cash flow after interest, estimate</t>
  </si>
  <si>
    <t xml:space="preserve">Unlevered FCF less interest expense. Before dividends and buybacks.</t>
  </si>
  <si>
    <t xml:space="preserve">Free cash flow after interest to net debt</t>
  </si>
  <si>
    <t xml:space="preserve">How many years of cash flow it takes to repay the debt. Above 20 percent is investment grade territory for a media company; under 5 is distressed.</t>
  </si>
  <si>
    <t xml:space="preserve">Share price, $</t>
  </si>
  <si>
    <t xml:space="preserve">October 23, 2026 except Disney, October 16. Same as the models.</t>
  </si>
  <si>
    <t xml:space="preserve">Shares, millions</t>
  </si>
  <si>
    <t xml:space="preserve">Same as the models.</t>
  </si>
  <si>
    <t xml:space="preserve">Market value of equity</t>
  </si>
  <si>
    <t xml:space="preserve">Enterprise value at market</t>
  </si>
  <si>
    <t xml:space="preserve">Equity plus net debt plus noncontrolling interests from the models.</t>
  </si>
  <si>
    <t xml:space="preserve">Noncontrolling interests and other claims</t>
  </si>
  <si>
    <t xml:space="preserve">From the models.</t>
  </si>
  <si>
    <t xml:space="preserve">Net debt as share of enterprise value</t>
  </si>
  <si>
    <t xml:space="preserve">Loan to value, the way a lender reads it.</t>
  </si>
  <si>
    <t xml:space="preserve">Market EV to EBITDA</t>
  </si>
  <si>
    <t xml:space="preserve">DCF equity value, base case, perpetuity method</t>
  </si>
  <si>
    <t xml:space="preserve">DCF sheet of each model, equity value before per share division.</t>
  </si>
  <si>
    <t xml:space="preserve">Equity cushion, DCF equity over net debt</t>
  </si>
  <si>
    <t xml:space="preserve">How much modelled equity sits under each dollar of net debt. Under 1 times means the debt is more than half the business.</t>
  </si>
  <si>
    <t xml:space="preserve">Pre tax cost of debt used in the model</t>
  </si>
  <si>
    <t xml:space="preserve">WACC sheet of each model. Skydance blended from 7.05 and 8.875 percent new notes and 10 to 13 percent legacy yields [1]. The other four are analyst inputs at 75 to 125 bp over the 10 year, with Netflix anchored on its July 2026 print [5].</t>
  </si>
  <si>
    <t xml:space="preserve">10 year Treasury, October 22, 2026</t>
  </si>
  <si>
    <t xml:space="preserve">Mortgage News Daily [6].</t>
  </si>
  <si>
    <t xml:space="preserve">Spread to Treasury on the cost of debt</t>
  </si>
  <si>
    <t xml:space="preserve">Cost of debt less the 10 year, in basis points. Where I think a new 10 year would print. Only Skydance's is anchored on sourced trading levels; see Levels.</t>
  </si>
  <si>
    <t xml:space="preserve">S&amp;P issuer rating, where sourced</t>
  </si>
  <si>
    <t xml:space="preserve">BB</t>
  </si>
  <si>
    <t xml:space="preserve">A</t>
  </si>
  <si>
    <t xml:space="preserve">A range, unverified</t>
  </si>
  <si>
    <t xml:space="preserve">not found</t>
  </si>
  <si>
    <t xml:space="preserve">Skydance cut to BB September 24, 2026 [1]. Netflix A [5]. Disney A, upgraded December 2024 [3]. Comcast single A range, under Moody's review after the spin announcement, not verified [4]. Fox not found [2].</t>
  </si>
  <si>
    <t xml:space="preserve">Read down the yellow rows first. Skydance carries more net debt than the other four combined carry in EBITDA cushion, and its spread is the only one that is not an investment grade number.</t>
  </si>
  <si>
    <t xml:space="preserve">What an EBITDA miss does to the equity under the debt</t>
  </si>
  <si>
    <t xml:space="preserve">EBITDA against the base case</t>
  </si>
  <si>
    <t xml:space="preserve">Market EV to EBITDA, held constant</t>
  </si>
  <si>
    <t xml:space="preserve">Assumes the market keeps paying the same multiple on lower EBITDA, which is generous. In practice the multiple falls too.</t>
  </si>
  <si>
    <t xml:space="preserve">Net debt plus other claims</t>
  </si>
  <si>
    <t xml:space="preserve">Equity value, $ millions</t>
  </si>
  <si>
    <t xml:space="preserve">Equity value as share of base</t>
  </si>
  <si>
    <t xml:space="preserve">EBITDA miss that wipes out the equity</t>
  </si>
  <si>
    <t xml:space="preserve">The miss at which enterprise value equals net debt and the equity is zero. The number a high yield desk carries in its head.</t>
  </si>
  <si>
    <t xml:space="preserve">At the market multiple, a 10 percent EBITDA miss costs Skydance's equity about a third. The same miss costs Fox and Netflix about a tenth. That is the whole difference between a BB credit and a single A one, in one row.</t>
  </si>
  <si>
    <t xml:space="preserve">Debt capacity at a leverage target</t>
  </si>
  <si>
    <t xml:space="preserve">Net debt today</t>
  </si>
  <si>
    <t xml:space="preserve">Net leverage today</t>
  </si>
  <si>
    <t xml:space="preserve">Target net leverage, Skydance management</t>
  </si>
  <si>
    <t xml:space="preserve">Skydance's own 2029 target [1].</t>
  </si>
  <si>
    <t xml:space="preserve">Net debt at target</t>
  </si>
  <si>
    <t xml:space="preserve">Debt that could be added, or must be cut if negative</t>
  </si>
  <si>
    <t xml:space="preserve">Years of free cash flow after interest to get there</t>
  </si>
  <si>
    <t xml:space="preserve">Target net leverage, typical single A media</t>
  </si>
  <si>
    <t xml:space="preserve">Analyst input. S&amp;P cites adjusted leverage below 2.5 times for Disney's A rating [3].</t>
  </si>
  <si>
    <t xml:space="preserve">Target net leverage, high yield comfort</t>
  </si>
  <si>
    <t xml:space="preserve">Analyst input, roughly where BB media credits sit.</t>
  </si>
  <si>
    <t xml:space="preserve">Skydance needs to cut about $47 billion of net debt to reach its own 3.0 times target. Its free cash flow after interest in year one is under $1 billion. That is why the Debtwire view is that the target needs equity, and why the second lien notes carry an equity clawback.</t>
  </si>
  <si>
    <t xml:space="preserve">Skydance net leverage, year by year, base case</t>
  </si>
  <si>
    <t xml:space="preserve">USD millions</t>
  </si>
  <si>
    <t xml:space="preserve">2027E</t>
  </si>
  <si>
    <t xml:space="preserve">2028E</t>
  </si>
  <si>
    <t xml:space="preserve">2029E</t>
  </si>
  <si>
    <t xml:space="preserve">2030E</t>
  </si>
  <si>
    <t xml:space="preserve">2031E</t>
  </si>
  <si>
    <t xml:space="preserve">Adjusted EBITDA with synergies</t>
  </si>
  <si>
    <t xml:space="preserve">Skydance DCF model, Forecast row 13.</t>
  </si>
  <si>
    <t xml:space="preserve">Unlevered free cash flow</t>
  </si>
  <si>
    <t xml:space="preserve">Skydance DCF model, Forecast row 23.</t>
  </si>
  <si>
    <t xml:space="preserve">Average cost of debt</t>
  </si>
  <si>
    <t xml:space="preserve">Blended, between the new secured coupons and the legacy yields [1]. Input.</t>
  </si>
  <si>
    <t xml:space="preserve">Common dividends</t>
  </si>
  <si>
    <t xml:space="preserve">About $1.07 billion a year per Debtwire [1]. Input.</t>
  </si>
  <si>
    <t xml:space="preserve">Fraction of 2026 remaining</t>
  </si>
  <si>
    <t xml:space="preserve">Net debt, start of year</t>
  </si>
  <si>
    <t xml:space="preserve">Interest paid</t>
  </si>
  <si>
    <t xml:space="preserve">Dividends paid</t>
  </si>
  <si>
    <t xml:space="preserve">Cash available to repay debt</t>
  </si>
  <si>
    <t xml:space="preserve">Unlevered FCF less interest and dividends. No asset sales, no equity raise, no buybacks.</t>
  </si>
  <si>
    <t xml:space="preserve">Net debt, end of year</t>
  </si>
  <si>
    <t xml:space="preserve">Net leverage, end of year</t>
  </si>
  <si>
    <t xml:space="preserve">Net debt over the same year's EBITDA including synergies.</t>
  </si>
  <si>
    <t xml:space="preserve">Management target</t>
  </si>
  <si>
    <t xml:space="preserve">Gap to target, turns</t>
  </si>
  <si>
    <t xml:space="preserve">On the base case the company does not reach 3.0 times by 2029. It gets to about 4.6 times by 2031 with every dollar of free cash flow going to debt. Reaching the target on time takes asset sales or equity, which is the question every syndicate desk asked when the $52 billion priced.</t>
  </si>
  <si>
    <t xml:space="preserve">Sourced trading levels and ratings</t>
  </si>
  <si>
    <t xml:space="preserve">Instrument</t>
  </si>
  <si>
    <t xml:space="preserve">Level</t>
  </si>
  <si>
    <t xml:space="preserve">Date</t>
  </si>
  <si>
    <t xml:space="preserve">Versus</t>
  </si>
  <si>
    <t xml:space="preserve">Source and note</t>
  </si>
  <si>
    <t xml:space="preserve">Skydance 7.050% first lien notes due 2031</t>
  </si>
  <si>
    <t xml:space="preserve">272 bp OAS</t>
  </si>
  <si>
    <t xml:space="preserve">Oct 13, 2026</t>
  </si>
  <si>
    <t xml:space="preserve">170 bp wide of BBB index, 87 bp wide of BB index</t>
  </si>
  <si>
    <t xml:space="preserve">Debtwire [1]. Rated BBB- by S&amp;P.</t>
  </si>
  <si>
    <t xml:space="preserve">Skydance 8.875% second lien notes due 2034</t>
  </si>
  <si>
    <t xml:space="preserve">483 bp OAS</t>
  </si>
  <si>
    <t xml:space="preserve">169 bp wide of single B index</t>
  </si>
  <si>
    <t xml:space="preserve">Debtwire [1]. Rated BB by S&amp;P. Price 93.58 to 96.88. 10 percent a year callable at 103, 40 percent equity clawback at 107.</t>
  </si>
  <si>
    <t xml:space="preserve">Legacy Paramount Global long unsecured notes</t>
  </si>
  <si>
    <t xml:space="preserve">10.47% to 12.63% yield</t>
  </si>
  <si>
    <t xml:space="preserve">Oct 7, 2026</t>
  </si>
  <si>
    <t xml:space="preserve">Prices 46.53 to 62.90</t>
  </si>
  <si>
    <t xml:space="preserve">Debtwire [1]. Now BB- at S&amp;P after the October 12 cut.</t>
  </si>
  <si>
    <t xml:space="preserve">Paramount Global 5 year CDS</t>
  </si>
  <si>
    <t xml:space="preserve">577 bp</t>
  </si>
  <si>
    <t xml:space="preserve">268 bp on Sept 17, 352 on Sept 24, 499 on Oct 8</t>
  </si>
  <si>
    <t xml:space="preserve">Debtwire [1]. The move from 268 to 577 is the market repricing the merged capital structure.</t>
  </si>
  <si>
    <t xml:space="preserve">Skydance new issue, first trading day</t>
  </si>
  <si>
    <t xml:space="preserve">Over $100 million of paper losses</t>
  </si>
  <si>
    <t xml:space="preserve">Oct 1, 2026</t>
  </si>
  <si>
    <t xml:space="preserve">Press [7]. CFO called it one day choppiness. For a syndicate desk this is the new issue concession question.</t>
  </si>
  <si>
    <t xml:space="preserve">Netflix 5.250% notes due 2036</t>
  </si>
  <si>
    <t xml:space="preserve">5.346% yield at issue</t>
  </si>
  <si>
    <t xml:space="preserve">July 2026</t>
  </si>
  <si>
    <t xml:space="preserve">About 90 bp over the 10 year at the time</t>
  </si>
  <si>
    <t xml:space="preserve">424B2 [5]. A2 and A rated.</t>
  </si>
  <si>
    <t xml:space="preserve">not sourced</t>
  </si>
  <si>
    <t xml:space="preserve">Moody's review for downgrade after the June 29, 2026 spin announcement [4]. Levels not retrieved.</t>
  </si>
  <si>
    <t xml:space="preserve">S&amp;P A, upgraded December 2024 [3]. Levels not retrieved.</t>
  </si>
  <si>
    <t xml:space="preserve">Ratings and levels not retrieved. $12 billion Morgan Stanley bridge and $1 billion term loan committed for Roku [2].</t>
  </si>
  <si>
    <t xml:space="preserve">Three of the five have no sourced bond levels in this pass. On a terminal this sheet takes ten minutes to fill from YAS and the relative value screens. Without one I leave the cells empty rather than guess.</t>
  </si>
  <si>
    <t xml:space="preserve">Sources</t>
  </si>
  <si>
    <t xml:space="preserve">#</t>
  </si>
  <si>
    <t xml:space="preserve">Source</t>
  </si>
  <si>
    <t xml:space="preserve">Debtwire, Skydance Corporation financing and trading levels, October 2026, as cited in the Skydance DCF model sources. Ratings actions from S&amp;P and Moody's as reported there.</t>
  </si>
  <si>
    <t xml:space="preserve">Fox Corporation FY2026 earnings release, Form 10-K and the June 2026 Roku merger announcement. foxcorporation.com and sec.gov</t>
  </si>
  <si>
    <t xml:space="preserve">The Walt Disney Company FY2025 earnings release and Q3 FY2026 10-Q; S&amp;P Global Ratings upgrade to A, December 2024.</t>
  </si>
  <si>
    <t xml:space="preserve">Comcast Corporation Form 10-K for fiscal 2025 and Q3 2026 10-Q; press coverage of Moody's review, June 2026.</t>
  </si>
  <si>
    <t xml:space="preserve">Netflix 424B2 prospectus supplement, 5.250 percent notes due 2036, July 2026; Q3 2026 shareholder letter.</t>
  </si>
  <si>
    <t xml:space="preserve">Mortgage News Daily, 10 year Treasury yield, October 22, 2026.</t>
  </si>
  <si>
    <t xml:space="preserve">Press coverage of the Skydance new issue first day trading, October 1, 2026.</t>
  </si>
  <si>
    <t xml:space="preserve">The five DCF models on this site, for every base year, forecast and valuation figure. Skydance_DCF_Model.xlsx, NFLX_DCF_Model.xlsx, DIS_DCF_Model.xlsx, CMCSA_DCF_Model.xlsx, FOXA_DCF_Model.xlsx.</t>
  </si>
  <si>
    <t xml:space="preserve">Analyst inputs are labelled where they sit. Nothing comes from a Bloomberg Terminal or from any employer.</t>
  </si>
</sst>
</file>

<file path=xl/styles.xml><?xml version="1.0" encoding="utf-8"?>
<styleSheet xmlns="http://schemas.openxmlformats.org/spreadsheetml/2006/main">
  <numFmts count="8">
    <numFmt numFmtId="164" formatCode="General"/>
    <numFmt numFmtId="165" formatCode="#,##0;\(#,##0\);\-"/>
    <numFmt numFmtId="166" formatCode="0.0%;\(0.0%\);\-"/>
    <numFmt numFmtId="167" formatCode="0.0\x;\(0.0&quot;x)&quot;;\-"/>
    <numFmt numFmtId="168" formatCode="\$#,##0.00"/>
    <numFmt numFmtId="169" formatCode="0&quot; bp&quot;"/>
    <numFmt numFmtId="170" formatCode="0%;\-0%;&quot;base&quot;"/>
    <numFmt numFmtId="171"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9"/>
      <color rgb="FF595959"/>
      <name val="Arial"/>
      <family val="0"/>
      <charset val="1"/>
    </font>
    <font>
      <sz val="10"/>
      <color rgb="FF0000FF"/>
      <name val="Arial"/>
      <family val="0"/>
      <charset val="1"/>
    </font>
    <font>
      <b val="true"/>
      <sz val="10"/>
      <name val="Arial"/>
      <family val="0"/>
      <charset val="1"/>
    </font>
  </fonts>
  <fills count="4">
    <fill>
      <patternFill patternType="none"/>
    </fill>
    <fill>
      <patternFill patternType="gray125"/>
    </fill>
    <fill>
      <patternFill patternType="solid">
        <fgColor rgb="FF0B0B0C"/>
        <bgColor rgb="FF000000"/>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B0B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41.75" hidden="false" customHeight="false" outlineLevel="0" collapsed="false">
      <c r="A3" s="3" t="s">
        <v>2</v>
      </c>
    </row>
    <row r="4" customFormat="false" ht="41.75" hidden="false" customHeight="false" outlineLevel="0" collapsed="false">
      <c r="A4" s="3" t="s">
        <v>3</v>
      </c>
    </row>
    <row r="5" customFormat="false" ht="41.75" hidden="false" customHeight="false" outlineLevel="0" collapsed="false">
      <c r="A5" s="3" t="s">
        <v>4</v>
      </c>
    </row>
    <row r="6" customFormat="false" ht="28.35" hidden="false" customHeight="false" outlineLevel="0" collapsed="false">
      <c r="A6" s="3" t="s">
        <v>5</v>
      </c>
    </row>
    <row r="7" customFormat="false" ht="28.35" hidden="false" customHeight="false" outlineLevel="0" collapsed="false">
      <c r="A7" s="3"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4"/>
    <col collapsed="false" customWidth="true" hidden="false" outlineLevel="0" max="7" min="7" style="0" width="50"/>
  </cols>
  <sheetData>
    <row r="1" customFormat="false" ht="17.35" hidden="false" customHeight="false" outlineLevel="0" collapsed="false">
      <c r="A1" s="1" t="s">
        <v>7</v>
      </c>
    </row>
    <row r="2" customFormat="false" ht="15" hidden="false" customHeight="false" outlineLevel="0" collapsed="false">
      <c r="A2" s="2" t="s">
        <v>1</v>
      </c>
    </row>
    <row r="4" customFormat="false" ht="42" hidden="false" customHeight="true" outlineLevel="0" collapsed="false">
      <c r="A4" s="4" t="s">
        <v>8</v>
      </c>
      <c r="B4" s="5" t="s">
        <v>9</v>
      </c>
      <c r="C4" s="5" t="s">
        <v>10</v>
      </c>
      <c r="D4" s="5" t="s">
        <v>11</v>
      </c>
      <c r="E4" s="5" t="s">
        <v>12</v>
      </c>
      <c r="F4" s="5" t="s">
        <v>13</v>
      </c>
      <c r="G4" s="5" t="s">
        <v>14</v>
      </c>
    </row>
    <row r="5" customFormat="false" ht="15" hidden="false" customHeight="false" outlineLevel="0" collapsed="false">
      <c r="A5" s="6" t="s">
        <v>15</v>
      </c>
      <c r="B5" s="6" t="s">
        <v>16</v>
      </c>
      <c r="C5" s="6" t="s">
        <v>17</v>
      </c>
      <c r="D5" s="6" t="s">
        <v>18</v>
      </c>
      <c r="E5" s="6" t="s">
        <v>19</v>
      </c>
      <c r="F5" s="6" t="s">
        <v>20</v>
      </c>
      <c r="G5" s="7" t="s">
        <v>21</v>
      </c>
    </row>
    <row r="6" customFormat="false" ht="15" hidden="false" customHeight="false" outlineLevel="0" collapsed="false">
      <c r="A6" s="6" t="s">
        <v>22</v>
      </c>
      <c r="B6" s="6" t="s">
        <v>23</v>
      </c>
      <c r="C6" s="6" t="s">
        <v>23</v>
      </c>
      <c r="D6" s="6" t="s">
        <v>24</v>
      </c>
      <c r="E6" s="6" t="s">
        <v>23</v>
      </c>
      <c r="F6" s="6" t="s">
        <v>25</v>
      </c>
      <c r="G6" s="7" t="s">
        <v>26</v>
      </c>
    </row>
    <row r="7" customFormat="false" ht="15" hidden="false" customHeight="false" outlineLevel="0" collapsed="false">
      <c r="A7" s="6" t="s">
        <v>27</v>
      </c>
      <c r="B7" s="8" t="n">
        <v>66800</v>
      </c>
      <c r="C7" s="8" t="n">
        <v>51100</v>
      </c>
      <c r="D7" s="8" t="n">
        <v>101000</v>
      </c>
      <c r="E7" s="8" t="n">
        <v>120500</v>
      </c>
      <c r="F7" s="8" t="n">
        <v>17126</v>
      </c>
      <c r="G7" s="7" t="s">
        <v>28</v>
      </c>
    </row>
    <row r="8" customFormat="false" ht="15" hidden="false" customHeight="false" outlineLevel="0" collapsed="false">
      <c r="A8" s="6" t="s">
        <v>29</v>
      </c>
      <c r="B8" s="8" t="n">
        <v>12291</v>
      </c>
      <c r="C8" s="8" t="n">
        <v>16454</v>
      </c>
      <c r="D8" s="8" t="n">
        <v>25150</v>
      </c>
      <c r="E8" s="8" t="n">
        <v>35000</v>
      </c>
      <c r="F8" s="8" t="n">
        <v>3906</v>
      </c>
      <c r="G8" s="7" t="s">
        <v>30</v>
      </c>
    </row>
    <row r="9" customFormat="false" ht="15" hidden="false" customHeight="false" outlineLevel="0" collapsed="false">
      <c r="A9" s="6" t="s">
        <v>31</v>
      </c>
      <c r="B9" s="9" t="n">
        <f aca="false">B8/B7</f>
        <v>0.183997005988024</v>
      </c>
      <c r="C9" s="9" t="n">
        <f aca="false">C8/C7</f>
        <v>0.321996086105675</v>
      </c>
      <c r="D9" s="9" t="n">
        <f aca="false">D8/D7</f>
        <v>0.249009900990099</v>
      </c>
      <c r="E9" s="9" t="n">
        <f aca="false">E8/E7</f>
        <v>0.29045643153527</v>
      </c>
      <c r="F9" s="9" t="n">
        <f aca="false">F8/F7</f>
        <v>0.228074273035151</v>
      </c>
      <c r="G9" s="7" t="s">
        <v>32</v>
      </c>
    </row>
    <row r="10" customFormat="false" ht="15" hidden="false" customHeight="false" outlineLevel="0" collapsed="false">
      <c r="A10" s="6" t="s">
        <v>33</v>
      </c>
      <c r="B10" s="8" t="n">
        <v>89300</v>
      </c>
      <c r="C10" s="8" t="n">
        <v>15300</v>
      </c>
      <c r="D10" s="8" t="n">
        <v>46041</v>
      </c>
      <c r="E10" s="8" t="n">
        <v>87366</v>
      </c>
      <c r="F10" s="8" t="n">
        <v>6606</v>
      </c>
      <c r="G10" s="7" t="s">
        <v>34</v>
      </c>
    </row>
    <row r="11" customFormat="false" ht="15" hidden="false" customHeight="false" outlineLevel="0" collapsed="false">
      <c r="A11" s="6" t="s">
        <v>35</v>
      </c>
      <c r="B11" s="8" t="n">
        <v>5000</v>
      </c>
      <c r="C11" s="8" t="n">
        <v>8194</v>
      </c>
      <c r="D11" s="8" t="n">
        <v>5185</v>
      </c>
      <c r="E11" s="8" t="n">
        <v>7596</v>
      </c>
      <c r="F11" s="8" t="n">
        <v>4205</v>
      </c>
      <c r="G11" s="7" t="s">
        <v>36</v>
      </c>
    </row>
    <row r="12" customFormat="false" ht="15" hidden="false" customHeight="false" outlineLevel="0" collapsed="false">
      <c r="A12" s="6" t="s">
        <v>37</v>
      </c>
      <c r="B12" s="10" t="n">
        <f aca="false">B10-B11</f>
        <v>84300</v>
      </c>
      <c r="C12" s="10" t="n">
        <f aca="false">C10-C11</f>
        <v>7106</v>
      </c>
      <c r="D12" s="10" t="n">
        <f aca="false">D10-D11</f>
        <v>40856</v>
      </c>
      <c r="E12" s="10" t="n">
        <f aca="false">E10-E11</f>
        <v>79770</v>
      </c>
      <c r="F12" s="10" t="n">
        <f aca="false">F10-F11</f>
        <v>2401</v>
      </c>
      <c r="G12" s="7" t="s">
        <v>38</v>
      </c>
    </row>
    <row r="13" customFormat="false" ht="15" hidden="false" customHeight="false" outlineLevel="0" collapsed="false">
      <c r="A13" s="6" t="s">
        <v>39</v>
      </c>
      <c r="B13" s="11" t="n">
        <f aca="false">B10/B8</f>
        <v>7.26547880563014</v>
      </c>
      <c r="C13" s="11" t="n">
        <f aca="false">C10/C8</f>
        <v>0.929865078400389</v>
      </c>
      <c r="D13" s="11" t="n">
        <f aca="false">D10/D8</f>
        <v>1.83065606361829</v>
      </c>
      <c r="E13" s="11" t="n">
        <f aca="false">E10/E8</f>
        <v>2.49617142857143</v>
      </c>
      <c r="F13" s="11" t="n">
        <f aca="false">F10/F8</f>
        <v>1.69124423963134</v>
      </c>
      <c r="G13" s="7"/>
    </row>
    <row r="14" customFormat="false" ht="15" hidden="false" customHeight="false" outlineLevel="0" collapsed="false">
      <c r="A14" s="12" t="s">
        <v>40</v>
      </c>
      <c r="B14" s="13" t="n">
        <f aca="false">B12/B8</f>
        <v>6.85867708079082</v>
      </c>
      <c r="C14" s="13" t="n">
        <f aca="false">C12/C8</f>
        <v>0.431870669745958</v>
      </c>
      <c r="D14" s="13" t="n">
        <f aca="false">D12/D8</f>
        <v>1.6244930417495</v>
      </c>
      <c r="E14" s="13" t="n">
        <f aca="false">E12/E8</f>
        <v>2.27914285714286</v>
      </c>
      <c r="F14" s="13" t="n">
        <f aca="false">F12/F8</f>
        <v>0.614695340501792</v>
      </c>
      <c r="G14" s="7" t="s">
        <v>41</v>
      </c>
    </row>
    <row r="15" customFormat="false" ht="15" hidden="false" customHeight="false" outlineLevel="0" collapsed="false">
      <c r="A15" s="6" t="s">
        <v>42</v>
      </c>
      <c r="B15" s="8" t="n">
        <v>6700</v>
      </c>
      <c r="C15" s="8" t="n">
        <v>760</v>
      </c>
      <c r="D15" s="8" t="n">
        <v>1305</v>
      </c>
      <c r="E15" s="8" t="n">
        <v>4409</v>
      </c>
      <c r="F15" s="8" t="n">
        <v>360</v>
      </c>
      <c r="G15" s="7" t="s">
        <v>43</v>
      </c>
    </row>
    <row r="16" customFormat="false" ht="15" hidden="false" customHeight="false" outlineLevel="0" collapsed="false">
      <c r="A16" s="12" t="s">
        <v>44</v>
      </c>
      <c r="B16" s="14" t="n">
        <f aca="false">B8/B15</f>
        <v>1.8344776119403</v>
      </c>
      <c r="C16" s="14" t="n">
        <f aca="false">C8/C15</f>
        <v>21.65</v>
      </c>
      <c r="D16" s="14" t="n">
        <f aca="false">D8/D15</f>
        <v>19.272030651341</v>
      </c>
      <c r="E16" s="14" t="n">
        <f aca="false">E8/E15</f>
        <v>7.93830800635065</v>
      </c>
      <c r="F16" s="14" t="n">
        <f aca="false">F8/F15</f>
        <v>10.85</v>
      </c>
      <c r="G16" s="7" t="s">
        <v>45</v>
      </c>
    </row>
    <row r="17" customFormat="false" ht="15" hidden="false" customHeight="false" outlineLevel="0" collapsed="false">
      <c r="A17" s="6" t="s">
        <v>46</v>
      </c>
      <c r="B17" s="8" t="n">
        <v>6435</v>
      </c>
      <c r="C17" s="8" t="n">
        <v>9989</v>
      </c>
      <c r="D17" s="8" t="n">
        <v>10387</v>
      </c>
      <c r="E17" s="8" t="n">
        <v>16998</v>
      </c>
      <c r="F17" s="8" t="n">
        <v>2470</v>
      </c>
      <c r="G17" s="7" t="s">
        <v>47</v>
      </c>
    </row>
    <row r="18" customFormat="false" ht="15" hidden="false" customHeight="false" outlineLevel="0" collapsed="false">
      <c r="A18" s="6" t="s">
        <v>48</v>
      </c>
      <c r="B18" s="10" t="n">
        <f aca="false">B17-B15</f>
        <v>-265</v>
      </c>
      <c r="C18" s="10" t="n">
        <f aca="false">C17-C15</f>
        <v>9229</v>
      </c>
      <c r="D18" s="10" t="n">
        <f aca="false">D17-D15</f>
        <v>9082</v>
      </c>
      <c r="E18" s="10" t="n">
        <f aca="false">E17-E15</f>
        <v>12589</v>
      </c>
      <c r="F18" s="10" t="n">
        <f aca="false">F17-F15</f>
        <v>2110</v>
      </c>
      <c r="G18" s="7" t="s">
        <v>49</v>
      </c>
    </row>
    <row r="19" customFormat="false" ht="15" hidden="false" customHeight="false" outlineLevel="0" collapsed="false">
      <c r="A19" s="6" t="s">
        <v>50</v>
      </c>
      <c r="B19" s="9" t="n">
        <f aca="false">IF(B12&lt;=0,"net cash",B18/B12)</f>
        <v>-0.0031435349940688</v>
      </c>
      <c r="C19" s="9" t="n">
        <f aca="false">IF(C12&lt;=0,"net cash",C18/C12)</f>
        <v>1.29876160990712</v>
      </c>
      <c r="D19" s="9" t="n">
        <f aca="false">IF(D12&lt;=0,"net cash",D18/D12)</f>
        <v>0.222292931270805</v>
      </c>
      <c r="E19" s="9" t="n">
        <f aca="false">IF(E12&lt;=0,"net cash",E18/E12)</f>
        <v>0.157816221637207</v>
      </c>
      <c r="F19" s="9" t="n">
        <f aca="false">IF(F12&lt;=0,"net cash",F18/F12)</f>
        <v>0.878800499791754</v>
      </c>
      <c r="G19" s="7" t="s">
        <v>51</v>
      </c>
    </row>
    <row r="20" customFormat="false" ht="15" hidden="false" customHeight="false" outlineLevel="0" collapsed="false">
      <c r="A20" s="6" t="s">
        <v>52</v>
      </c>
      <c r="B20" s="15" t="n">
        <v>7.77</v>
      </c>
      <c r="C20" s="15" t="n">
        <v>65.85</v>
      </c>
      <c r="D20" s="15" t="n">
        <v>110.16</v>
      </c>
      <c r="E20" s="15" t="n">
        <v>22.04</v>
      </c>
      <c r="F20" s="15" t="n">
        <v>68.27</v>
      </c>
      <c r="G20" s="7" t="s">
        <v>53</v>
      </c>
    </row>
    <row r="21" customFormat="false" ht="15" hidden="false" customHeight="false" outlineLevel="0" collapsed="false">
      <c r="A21" s="6" t="s">
        <v>54</v>
      </c>
      <c r="B21" s="8" t="n">
        <v>5040</v>
      </c>
      <c r="C21" s="8" t="n">
        <v>4164</v>
      </c>
      <c r="D21" s="8" t="n">
        <v>1727</v>
      </c>
      <c r="E21" s="8" t="n">
        <v>3551</v>
      </c>
      <c r="F21" s="8" t="n">
        <v>419.65</v>
      </c>
      <c r="G21" s="7" t="s">
        <v>55</v>
      </c>
    </row>
    <row r="22" customFormat="false" ht="15" hidden="false" customHeight="false" outlineLevel="0" collapsed="false">
      <c r="A22" s="6" t="s">
        <v>56</v>
      </c>
      <c r="B22" s="10" t="n">
        <f aca="false">B20*B21</f>
        <v>39160.8</v>
      </c>
      <c r="C22" s="10" t="n">
        <f aca="false">C20*C21</f>
        <v>274199.4</v>
      </c>
      <c r="D22" s="10" t="n">
        <f aca="false">D20*D21</f>
        <v>190246.32</v>
      </c>
      <c r="E22" s="10" t="n">
        <f aca="false">E20*E21</f>
        <v>78264.04</v>
      </c>
      <c r="F22" s="10" t="n">
        <f aca="false">F20*F21</f>
        <v>28649.5055</v>
      </c>
      <c r="G22" s="7"/>
    </row>
    <row r="23" customFormat="false" ht="15" hidden="false" customHeight="false" outlineLevel="0" collapsed="false">
      <c r="A23" s="6" t="s">
        <v>57</v>
      </c>
      <c r="B23" s="10" t="n">
        <f aca="false">B22+B12+B24</f>
        <v>124499.8</v>
      </c>
      <c r="C23" s="10" t="n">
        <f aca="false">C22+C12+C24</f>
        <v>281305.4</v>
      </c>
      <c r="D23" s="10" t="n">
        <f aca="false">D22+D12+D24</f>
        <v>237912.32</v>
      </c>
      <c r="E23" s="10" t="n">
        <f aca="false">E22+E12+E24</f>
        <v>158034.04</v>
      </c>
      <c r="F23" s="10" t="n">
        <f aca="false">F22+F12+F24</f>
        <v>31050.5055</v>
      </c>
      <c r="G23" s="7" t="s">
        <v>58</v>
      </c>
    </row>
    <row r="24" customFormat="false" ht="15" hidden="false" customHeight="false" outlineLevel="0" collapsed="false">
      <c r="A24" s="6" t="s">
        <v>59</v>
      </c>
      <c r="B24" s="8" t="n">
        <v>1039</v>
      </c>
      <c r="C24" s="8" t="n">
        <v>0</v>
      </c>
      <c r="D24" s="8" t="n">
        <v>6810</v>
      </c>
      <c r="E24" s="8" t="n">
        <v>0</v>
      </c>
      <c r="F24" s="8" t="n">
        <v>0</v>
      </c>
      <c r="G24" s="7" t="s">
        <v>60</v>
      </c>
    </row>
    <row r="25" customFormat="false" ht="15" hidden="false" customHeight="false" outlineLevel="0" collapsed="false">
      <c r="A25" s="6" t="s">
        <v>61</v>
      </c>
      <c r="B25" s="9" t="n">
        <f aca="false">B12/B23</f>
        <v>0.677109521461079</v>
      </c>
      <c r="C25" s="9" t="n">
        <f aca="false">C12/C23</f>
        <v>0.0252608019611426</v>
      </c>
      <c r="D25" s="9" t="n">
        <f aca="false">D12/D23</f>
        <v>0.171727130398291</v>
      </c>
      <c r="E25" s="9" t="n">
        <f aca="false">E12/E23</f>
        <v>0.504764669687619</v>
      </c>
      <c r="F25" s="9" t="n">
        <f aca="false">F12/F23</f>
        <v>0.0773256332332496</v>
      </c>
      <c r="G25" s="7" t="s">
        <v>62</v>
      </c>
    </row>
    <row r="26" customFormat="false" ht="15" hidden="false" customHeight="false" outlineLevel="0" collapsed="false">
      <c r="A26" s="6" t="s">
        <v>63</v>
      </c>
      <c r="B26" s="11" t="n">
        <f aca="false">B23/B8</f>
        <v>10.1293466764299</v>
      </c>
      <c r="C26" s="11" t="n">
        <f aca="false">C23/C8</f>
        <v>17.0964750212714</v>
      </c>
      <c r="D26" s="11" t="n">
        <f aca="false">D23/D8</f>
        <v>9.45973439363817</v>
      </c>
      <c r="E26" s="11" t="n">
        <f aca="false">E23/E8</f>
        <v>4.51525828571429</v>
      </c>
      <c r="F26" s="11" t="n">
        <f aca="false">F23/F8</f>
        <v>7.94943817204301</v>
      </c>
      <c r="G26" s="7"/>
    </row>
    <row r="27" customFormat="false" ht="15" hidden="false" customHeight="false" outlineLevel="0" collapsed="false">
      <c r="A27" s="6" t="s">
        <v>64</v>
      </c>
      <c r="B27" s="8" t="n">
        <v>44354</v>
      </c>
      <c r="C27" s="8" t="n">
        <v>207334</v>
      </c>
      <c r="D27" s="8" t="n">
        <v>136627</v>
      </c>
      <c r="E27" s="8" t="n">
        <v>157958</v>
      </c>
      <c r="F27" s="8" t="n">
        <v>30433</v>
      </c>
      <c r="G27" s="7" t="s">
        <v>65</v>
      </c>
    </row>
    <row r="28" customFormat="false" ht="15" hidden="false" customHeight="false" outlineLevel="0" collapsed="false">
      <c r="A28" s="12" t="s">
        <v>66</v>
      </c>
      <c r="B28" s="13" t="n">
        <f aca="false">B27/B12</f>
        <v>0.526144721233689</v>
      </c>
      <c r="C28" s="13" t="n">
        <f aca="false">C27/C12</f>
        <v>29.1773149451168</v>
      </c>
      <c r="D28" s="13" t="n">
        <f aca="false">D27/D12</f>
        <v>3.34411102408459</v>
      </c>
      <c r="E28" s="13" t="n">
        <f aca="false">E27/E12</f>
        <v>1.98016798295098</v>
      </c>
      <c r="F28" s="13" t="n">
        <f aca="false">F27/F12</f>
        <v>12.6751353602666</v>
      </c>
      <c r="G28" s="7" t="s">
        <v>67</v>
      </c>
    </row>
    <row r="29" customFormat="false" ht="15" hidden="false" customHeight="false" outlineLevel="0" collapsed="false">
      <c r="A29" s="6" t="s">
        <v>68</v>
      </c>
      <c r="B29" s="16" t="n">
        <v>0.08</v>
      </c>
      <c r="C29" s="16" t="n">
        <v>0.058</v>
      </c>
      <c r="D29" s="16" t="n">
        <v>0.057</v>
      </c>
      <c r="E29" s="16" t="n">
        <v>0.059</v>
      </c>
      <c r="F29" s="16" t="n">
        <v>0.062</v>
      </c>
      <c r="G29" s="7" t="s">
        <v>69</v>
      </c>
    </row>
    <row r="30" customFormat="false" ht="15" hidden="false" customHeight="false" outlineLevel="0" collapsed="false">
      <c r="A30" s="6" t="s">
        <v>70</v>
      </c>
      <c r="B30" s="16" t="n">
        <v>0.0495</v>
      </c>
      <c r="C30" s="16" t="n">
        <v>0.0495</v>
      </c>
      <c r="D30" s="16" t="n">
        <v>0.0495</v>
      </c>
      <c r="E30" s="16" t="n">
        <v>0.0495</v>
      </c>
      <c r="F30" s="16" t="n">
        <v>0.0495</v>
      </c>
      <c r="G30" s="7" t="s">
        <v>71</v>
      </c>
    </row>
    <row r="31" customFormat="false" ht="15" hidden="false" customHeight="false" outlineLevel="0" collapsed="false">
      <c r="A31" s="12" t="s">
        <v>72</v>
      </c>
      <c r="B31" s="17" t="n">
        <f aca="false">(B29-B30)*10000</f>
        <v>305</v>
      </c>
      <c r="C31" s="17" t="n">
        <f aca="false">(C29-C30)*10000</f>
        <v>85</v>
      </c>
      <c r="D31" s="17" t="n">
        <f aca="false">(D29-D30)*10000</f>
        <v>75</v>
      </c>
      <c r="E31" s="17" t="n">
        <f aca="false">(E29-E30)*10000</f>
        <v>94.9999999999999</v>
      </c>
      <c r="F31" s="17" t="n">
        <f aca="false">(F29-F30)*10000</f>
        <v>125</v>
      </c>
      <c r="G31" s="7" t="s">
        <v>73</v>
      </c>
    </row>
    <row r="32" customFormat="false" ht="15" hidden="false" customHeight="false" outlineLevel="0" collapsed="false">
      <c r="A32" s="6" t="s">
        <v>74</v>
      </c>
      <c r="B32" s="6" t="s">
        <v>75</v>
      </c>
      <c r="C32" s="6" t="s">
        <v>76</v>
      </c>
      <c r="D32" s="6" t="s">
        <v>76</v>
      </c>
      <c r="E32" s="6" t="s">
        <v>77</v>
      </c>
      <c r="F32" s="6" t="s">
        <v>78</v>
      </c>
      <c r="G32" s="7" t="s">
        <v>79</v>
      </c>
    </row>
    <row r="34" customFormat="false" ht="15" hidden="false" customHeight="false" outlineLevel="0" collapsed="false">
      <c r="A34" s="2"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4"/>
    <col collapsed="false" customWidth="true" hidden="false" outlineLevel="0" max="7" min="7" style="0" width="50"/>
  </cols>
  <sheetData>
    <row r="1" customFormat="false" ht="17.35" hidden="false" customHeight="false" outlineLevel="0" collapsed="false">
      <c r="A1" s="1" t="s">
        <v>81</v>
      </c>
    </row>
    <row r="2" customFormat="false" ht="15" hidden="false" customHeight="false" outlineLevel="0" collapsed="false">
      <c r="A2" s="2" t="s">
        <v>1</v>
      </c>
    </row>
    <row r="4" customFormat="false" ht="42" hidden="false" customHeight="true" outlineLevel="0" collapsed="false">
      <c r="A4" s="4" t="s">
        <v>82</v>
      </c>
      <c r="B4" s="5" t="s">
        <v>9</v>
      </c>
      <c r="C4" s="5" t="s">
        <v>10</v>
      </c>
      <c r="D4" s="5" t="s">
        <v>11</v>
      </c>
      <c r="E4" s="5" t="s">
        <v>12</v>
      </c>
      <c r="F4" s="5" t="s">
        <v>13</v>
      </c>
      <c r="G4" s="5" t="s">
        <v>14</v>
      </c>
    </row>
    <row r="5" customFormat="false" ht="15" hidden="false" customHeight="false" outlineLevel="0" collapsed="false">
      <c r="A5" s="6" t="s">
        <v>83</v>
      </c>
      <c r="B5" s="11" t="n">
        <f aca="false">Comps!B26</f>
        <v>10.1293466764299</v>
      </c>
      <c r="C5" s="11" t="n">
        <f aca="false">Comps!C26</f>
        <v>17.0964750212714</v>
      </c>
      <c r="D5" s="11" t="n">
        <f aca="false">Comps!D26</f>
        <v>9.45973439363817</v>
      </c>
      <c r="E5" s="11" t="n">
        <f aca="false">Comps!E26</f>
        <v>4.51525828571429</v>
      </c>
      <c r="F5" s="11" t="n">
        <f aca="false">Comps!F26</f>
        <v>7.94943817204301</v>
      </c>
      <c r="G5" s="7" t="s">
        <v>84</v>
      </c>
    </row>
    <row r="6" customFormat="false" ht="15" hidden="false" customHeight="false" outlineLevel="0" collapsed="false">
      <c r="A6" s="6" t="s">
        <v>85</v>
      </c>
      <c r="B6" s="10" t="n">
        <f aca="false">Comps!B12+Comps!B24</f>
        <v>85339</v>
      </c>
      <c r="C6" s="10" t="n">
        <f aca="false">Comps!C12+Comps!C24</f>
        <v>7106</v>
      </c>
      <c r="D6" s="10" t="n">
        <f aca="false">Comps!D12+Comps!D24</f>
        <v>47666</v>
      </c>
      <c r="E6" s="10" t="n">
        <f aca="false">Comps!E12+Comps!E24</f>
        <v>79770</v>
      </c>
      <c r="F6" s="10" t="n">
        <f aca="false">Comps!F12+Comps!F24</f>
        <v>2401</v>
      </c>
    </row>
    <row r="8" customFormat="false" ht="15" hidden="false" customHeight="false" outlineLevel="0" collapsed="false">
      <c r="A8" s="12" t="s">
        <v>86</v>
      </c>
    </row>
    <row r="9" customFormat="false" ht="15" hidden="false" customHeight="false" outlineLevel="0" collapsed="false">
      <c r="A9" s="18" t="n">
        <v>0</v>
      </c>
      <c r="B9" s="10" t="n">
        <f aca="false">MAX(0,Comps!B8*(1+$A9)*B$5-B$6)</f>
        <v>39160.8</v>
      </c>
      <c r="C9" s="10" t="n">
        <f aca="false">MAX(0,Comps!C8*(1+$A9)*C$5-C$6)</f>
        <v>274199.4</v>
      </c>
      <c r="D9" s="10" t="n">
        <f aca="false">MAX(0,Comps!D8*(1+$A9)*D$5-D$6)</f>
        <v>190246.32</v>
      </c>
      <c r="E9" s="10" t="n">
        <f aca="false">MAX(0,Comps!E8*(1+$A9)*E$5-E$6)</f>
        <v>78264.04</v>
      </c>
      <c r="F9" s="10" t="n">
        <f aca="false">MAX(0,Comps!F8*(1+$A9)*F$5-F$6)</f>
        <v>28649.5055</v>
      </c>
    </row>
    <row r="10" customFormat="false" ht="15" hidden="false" customHeight="false" outlineLevel="0" collapsed="false">
      <c r="A10" s="18" t="n">
        <v>-0.1</v>
      </c>
      <c r="B10" s="10" t="n">
        <f aca="false">MAX(0,Comps!B8*(1+$A10)*B$5-B$6)</f>
        <v>26710.82</v>
      </c>
      <c r="C10" s="10" t="n">
        <f aca="false">MAX(0,Comps!C8*(1+$A10)*C$5-C$6)</f>
        <v>246068.86</v>
      </c>
      <c r="D10" s="10" t="n">
        <f aca="false">MAX(0,Comps!D8*(1+$A10)*D$5-D$6)</f>
        <v>166455.088</v>
      </c>
      <c r="E10" s="10" t="n">
        <f aca="false">MAX(0,Comps!E8*(1+$A10)*E$5-E$6)</f>
        <v>62460.636</v>
      </c>
      <c r="F10" s="10" t="n">
        <f aca="false">MAX(0,Comps!F8*(1+$A10)*F$5-F$6)</f>
        <v>25544.45495</v>
      </c>
    </row>
    <row r="11" customFormat="false" ht="15" hidden="false" customHeight="false" outlineLevel="0" collapsed="false">
      <c r="A11" s="18" t="n">
        <v>-0.2</v>
      </c>
      <c r="B11" s="10" t="n">
        <f aca="false">MAX(0,Comps!B8*(1+$A11)*B$5-B$6)</f>
        <v>14260.84</v>
      </c>
      <c r="C11" s="10" t="n">
        <f aca="false">MAX(0,Comps!C8*(1+$A11)*C$5-C$6)</f>
        <v>217938.32</v>
      </c>
      <c r="D11" s="10" t="n">
        <f aca="false">MAX(0,Comps!D8*(1+$A11)*D$5-D$6)</f>
        <v>142663.856</v>
      </c>
      <c r="E11" s="10" t="n">
        <f aca="false">MAX(0,Comps!E8*(1+$A11)*E$5-E$6)</f>
        <v>46657.232</v>
      </c>
      <c r="F11" s="10" t="n">
        <f aca="false">MAX(0,Comps!F8*(1+$A11)*F$5-F$6)</f>
        <v>22439.4044</v>
      </c>
    </row>
    <row r="12" customFormat="false" ht="15" hidden="false" customHeight="false" outlineLevel="0" collapsed="false">
      <c r="A12" s="18" t="n">
        <v>-0.3</v>
      </c>
      <c r="B12" s="10" t="n">
        <f aca="false">MAX(0,Comps!B8*(1+$A12)*B$5-B$6)</f>
        <v>1810.85999999999</v>
      </c>
      <c r="C12" s="10" t="n">
        <f aca="false">MAX(0,Comps!C8*(1+$A12)*C$5-C$6)</f>
        <v>189807.78</v>
      </c>
      <c r="D12" s="10" t="n">
        <f aca="false">MAX(0,Comps!D8*(1+$A12)*D$5-D$6)</f>
        <v>118872.624</v>
      </c>
      <c r="E12" s="10" t="n">
        <f aca="false">MAX(0,Comps!E8*(1+$A12)*E$5-E$6)</f>
        <v>30853.828</v>
      </c>
      <c r="F12" s="10" t="n">
        <f aca="false">MAX(0,Comps!F8*(1+$A12)*F$5-F$6)</f>
        <v>19334.35385</v>
      </c>
    </row>
    <row r="13" customFormat="false" ht="15" hidden="false" customHeight="false" outlineLevel="0" collapsed="false">
      <c r="A13" s="18" t="n">
        <v>-0.4</v>
      </c>
      <c r="B13" s="10" t="n">
        <f aca="false">MAX(0,Comps!B8*(1+$A13)*B$5-B$6)</f>
        <v>0</v>
      </c>
      <c r="C13" s="10" t="n">
        <f aca="false">MAX(0,Comps!C8*(1+$A13)*C$5-C$6)</f>
        <v>161677.24</v>
      </c>
      <c r="D13" s="10" t="n">
        <f aca="false">MAX(0,Comps!D8*(1+$A13)*D$5-D$6)</f>
        <v>95081.392</v>
      </c>
      <c r="E13" s="10" t="n">
        <f aca="false">MAX(0,Comps!E8*(1+$A13)*E$5-E$6)</f>
        <v>15050.424</v>
      </c>
      <c r="F13" s="10" t="n">
        <f aca="false">MAX(0,Comps!F8*(1+$A13)*F$5-F$6)</f>
        <v>16229.3033</v>
      </c>
    </row>
    <row r="14" customFormat="false" ht="15" hidden="false" customHeight="false" outlineLevel="0" collapsed="false">
      <c r="A14" s="18" t="n">
        <v>-0.5</v>
      </c>
      <c r="B14" s="10" t="n">
        <f aca="false">MAX(0,Comps!B8*(1+$A14)*B$5-B$6)</f>
        <v>0</v>
      </c>
      <c r="C14" s="10" t="n">
        <f aca="false">MAX(0,Comps!C8*(1+$A14)*C$5-C$6)</f>
        <v>133546.7</v>
      </c>
      <c r="D14" s="10" t="n">
        <f aca="false">MAX(0,Comps!D8*(1+$A14)*D$5-D$6)</f>
        <v>71290.16</v>
      </c>
      <c r="E14" s="10" t="n">
        <f aca="false">MAX(0,Comps!E8*(1+$A14)*E$5-E$6)</f>
        <v>0</v>
      </c>
      <c r="F14" s="10" t="n">
        <f aca="false">MAX(0,Comps!F8*(1+$A14)*F$5-F$6)</f>
        <v>13124.25275</v>
      </c>
    </row>
    <row r="16" customFormat="false" ht="15" hidden="false" customHeight="false" outlineLevel="0" collapsed="false">
      <c r="A16" s="12" t="s">
        <v>87</v>
      </c>
    </row>
    <row r="17" customFormat="false" ht="15" hidden="false" customHeight="false" outlineLevel="0" collapsed="false">
      <c r="A17" s="19" t="n">
        <f aca="false">A9</f>
        <v>0</v>
      </c>
      <c r="B17" s="9" t="n">
        <f aca="false">IF(B$9=0,0,B9/B$9)</f>
        <v>1</v>
      </c>
      <c r="C17" s="9" t="n">
        <f aca="false">IF(C$9=0,0,C9/C$9)</f>
        <v>1</v>
      </c>
      <c r="D17" s="9" t="n">
        <f aca="false">IF(D$9=0,0,D9/D$9)</f>
        <v>1</v>
      </c>
      <c r="E17" s="9" t="n">
        <f aca="false">IF(E$9=0,0,E9/E$9)</f>
        <v>1</v>
      </c>
      <c r="F17" s="9" t="n">
        <f aca="false">IF(F$9=0,0,F9/F$9)</f>
        <v>1</v>
      </c>
    </row>
    <row r="18" customFormat="false" ht="15" hidden="false" customHeight="false" outlineLevel="0" collapsed="false">
      <c r="A18" s="19" t="n">
        <f aca="false">A10</f>
        <v>-0.1</v>
      </c>
      <c r="B18" s="20" t="n">
        <f aca="false">IF(B$9=0,0,B10/B$9)</f>
        <v>0.682080549937693</v>
      </c>
      <c r="C18" s="20" t="n">
        <f aca="false">IF(C$9=0,0,C10/C$9)</f>
        <v>0.897408455306613</v>
      </c>
      <c r="D18" s="20" t="n">
        <f aca="false">IF(D$9=0,0,D10/D$9)</f>
        <v>0.874945113261586</v>
      </c>
      <c r="E18" s="20" t="n">
        <f aca="false">IF(E$9=0,0,E10/E$9)</f>
        <v>0.798075795729431</v>
      </c>
      <c r="F18" s="20" t="n">
        <f aca="false">IF(F$9=0,0,F10/F$9)</f>
        <v>0.891619401598398</v>
      </c>
    </row>
    <row r="19" customFormat="false" ht="15" hidden="false" customHeight="false" outlineLevel="0" collapsed="false">
      <c r="A19" s="19" t="n">
        <f aca="false">A11</f>
        <v>-0.2</v>
      </c>
      <c r="B19" s="9" t="n">
        <f aca="false">IF(B$9=0,0,B11/B$9)</f>
        <v>0.364161099875386</v>
      </c>
      <c r="C19" s="9" t="n">
        <f aca="false">IF(C$9=0,0,C11/C$9)</f>
        <v>0.794816910613225</v>
      </c>
      <c r="D19" s="9" t="n">
        <f aca="false">IF(D$9=0,0,D11/D$9)</f>
        <v>0.749890226523173</v>
      </c>
      <c r="E19" s="9" t="n">
        <f aca="false">IF(E$9=0,0,E11/E$9)</f>
        <v>0.596151591458862</v>
      </c>
      <c r="F19" s="9" t="n">
        <f aca="false">IF(F$9=0,0,F11/F$9)</f>
        <v>0.783238803196795</v>
      </c>
    </row>
    <row r="20" customFormat="false" ht="15" hidden="false" customHeight="false" outlineLevel="0" collapsed="false">
      <c r="A20" s="19" t="n">
        <f aca="false">A12</f>
        <v>-0.3</v>
      </c>
      <c r="B20" s="9" t="n">
        <f aca="false">IF(B$9=0,0,B12/B$9)</f>
        <v>0.046241649813078</v>
      </c>
      <c r="C20" s="9" t="n">
        <f aca="false">IF(C$9=0,0,C12/C$9)</f>
        <v>0.692225365919838</v>
      </c>
      <c r="D20" s="9" t="n">
        <f aca="false">IF(D$9=0,0,D12/D$9)</f>
        <v>0.624835339784759</v>
      </c>
      <c r="E20" s="9" t="n">
        <f aca="false">IF(E$9=0,0,E12/E$9)</f>
        <v>0.394227387188292</v>
      </c>
      <c r="F20" s="9" t="n">
        <f aca="false">IF(F$9=0,0,F12/F$9)</f>
        <v>0.674858204795193</v>
      </c>
    </row>
    <row r="21" customFormat="false" ht="15" hidden="false" customHeight="false" outlineLevel="0" collapsed="false">
      <c r="A21" s="19" t="n">
        <f aca="false">A13</f>
        <v>-0.4</v>
      </c>
      <c r="B21" s="9" t="n">
        <f aca="false">IF(B$9=0,0,B13/B$9)</f>
        <v>0</v>
      </c>
      <c r="C21" s="9" t="n">
        <f aca="false">IF(C$9=0,0,C13/C$9)</f>
        <v>0.589633821226451</v>
      </c>
      <c r="D21" s="9" t="n">
        <f aca="false">IF(D$9=0,0,D13/D$9)</f>
        <v>0.499780453046345</v>
      </c>
      <c r="E21" s="9" t="n">
        <f aca="false">IF(E$9=0,0,E13/E$9)</f>
        <v>0.192303182917723</v>
      </c>
      <c r="F21" s="9" t="n">
        <f aca="false">IF(F$9=0,0,F13/F$9)</f>
        <v>0.56647760639359</v>
      </c>
    </row>
    <row r="22" customFormat="false" ht="15" hidden="false" customHeight="false" outlineLevel="0" collapsed="false">
      <c r="A22" s="19" t="n">
        <f aca="false">A14</f>
        <v>-0.5</v>
      </c>
      <c r="B22" s="9" t="n">
        <f aca="false">IF(B$9=0,0,B14/B$9)</f>
        <v>0</v>
      </c>
      <c r="C22" s="9" t="n">
        <f aca="false">IF(C$9=0,0,C14/C$9)</f>
        <v>0.487042276533063</v>
      </c>
      <c r="D22" s="9" t="n">
        <f aca="false">IF(D$9=0,0,D14/D$9)</f>
        <v>0.374725566307932</v>
      </c>
      <c r="E22" s="9" t="n">
        <f aca="false">IF(E$9=0,0,E14/E$9)</f>
        <v>0</v>
      </c>
      <c r="F22" s="9" t="n">
        <f aca="false">IF(F$9=0,0,F14/F$9)</f>
        <v>0.458097007991988</v>
      </c>
    </row>
    <row r="24" customFormat="false" ht="15" hidden="false" customHeight="false" outlineLevel="0" collapsed="false">
      <c r="A24" s="12" t="s">
        <v>88</v>
      </c>
      <c r="B24" s="21" t="n">
        <f aca="false">-(1-B6/(Comps!B8*B5))</f>
        <v>-0.31454508360656</v>
      </c>
      <c r="C24" s="21" t="n">
        <f aca="false">-(1-C6/(Comps!C8*C5))</f>
        <v>-0.974739198038857</v>
      </c>
      <c r="D24" s="21" t="n">
        <f aca="false">-(1-D6/(Comps!D8*D5))</f>
        <v>-0.799648879049223</v>
      </c>
      <c r="E24" s="21" t="n">
        <f aca="false">-(1-E6/(Comps!E8*E5))</f>
        <v>-0.495235330312381</v>
      </c>
      <c r="F24" s="21" t="n">
        <f aca="false">-(1-F6/(Comps!F8*F5))</f>
        <v>-0.92267436676675</v>
      </c>
      <c r="G24" s="7" t="s">
        <v>89</v>
      </c>
    </row>
    <row r="26" customFormat="false" ht="15" hidden="false" customHeight="false" outlineLevel="0" collapsed="false">
      <c r="A26" s="2"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4"/>
    <col collapsed="false" customWidth="true" hidden="false" outlineLevel="0" max="7" min="7" style="0" width="50"/>
  </cols>
  <sheetData>
    <row r="1" customFormat="false" ht="17.35" hidden="false" customHeight="false" outlineLevel="0" collapsed="false">
      <c r="A1" s="1" t="s">
        <v>91</v>
      </c>
    </row>
    <row r="2" customFormat="false" ht="15" hidden="false" customHeight="false" outlineLevel="0" collapsed="false">
      <c r="A2" s="2" t="s">
        <v>1</v>
      </c>
    </row>
    <row r="4" customFormat="false" ht="42" hidden="false" customHeight="true" outlineLevel="0" collapsed="false">
      <c r="A4" s="4" t="s">
        <v>8</v>
      </c>
      <c r="B4" s="5" t="s">
        <v>9</v>
      </c>
      <c r="C4" s="5" t="s">
        <v>10</v>
      </c>
      <c r="D4" s="5" t="s">
        <v>11</v>
      </c>
      <c r="E4" s="5" t="s">
        <v>12</v>
      </c>
      <c r="F4" s="5" t="s">
        <v>13</v>
      </c>
      <c r="G4" s="5" t="s">
        <v>14</v>
      </c>
    </row>
    <row r="5" customFormat="false" ht="15" hidden="false" customHeight="false" outlineLevel="0" collapsed="false">
      <c r="A5" s="6" t="s">
        <v>29</v>
      </c>
      <c r="B5" s="10" t="n">
        <f aca="false">Comps!B8</f>
        <v>12291</v>
      </c>
      <c r="C5" s="10" t="n">
        <f aca="false">Comps!C8</f>
        <v>16454</v>
      </c>
      <c r="D5" s="10" t="n">
        <f aca="false">Comps!D8</f>
        <v>25150</v>
      </c>
      <c r="E5" s="10" t="n">
        <f aca="false">Comps!E8</f>
        <v>35000</v>
      </c>
      <c r="F5" s="10" t="n">
        <f aca="false">Comps!F8</f>
        <v>3906</v>
      </c>
    </row>
    <row r="6" customFormat="false" ht="15" hidden="false" customHeight="false" outlineLevel="0" collapsed="false">
      <c r="A6" s="6" t="s">
        <v>92</v>
      </c>
      <c r="B6" s="10" t="n">
        <f aca="false">Comps!B12</f>
        <v>84300</v>
      </c>
      <c r="C6" s="10" t="n">
        <f aca="false">Comps!C12</f>
        <v>7106</v>
      </c>
      <c r="D6" s="10" t="n">
        <f aca="false">Comps!D12</f>
        <v>40856</v>
      </c>
      <c r="E6" s="10" t="n">
        <f aca="false">Comps!E12</f>
        <v>79770</v>
      </c>
      <c r="F6" s="10" t="n">
        <f aca="false">Comps!F12</f>
        <v>2401</v>
      </c>
    </row>
    <row r="7" customFormat="false" ht="15" hidden="false" customHeight="false" outlineLevel="0" collapsed="false">
      <c r="A7" s="6" t="s">
        <v>93</v>
      </c>
      <c r="B7" s="11" t="n">
        <f aca="false">B6/B5</f>
        <v>6.85867708079082</v>
      </c>
      <c r="C7" s="11" t="n">
        <f aca="false">C6/C5</f>
        <v>0.431870669745958</v>
      </c>
      <c r="D7" s="11" t="n">
        <f aca="false">D6/D5</f>
        <v>1.6244930417495</v>
      </c>
      <c r="E7" s="11" t="n">
        <f aca="false">E6/E5</f>
        <v>2.27914285714286</v>
      </c>
      <c r="F7" s="11" t="n">
        <f aca="false">F6/F5</f>
        <v>0.614695340501792</v>
      </c>
    </row>
    <row r="9" customFormat="false" ht="15" hidden="false" customHeight="false" outlineLevel="0" collapsed="false">
      <c r="A9" s="12" t="s">
        <v>94</v>
      </c>
      <c r="B9" s="22" t="n">
        <v>3</v>
      </c>
      <c r="G9" s="7" t="s">
        <v>95</v>
      </c>
    </row>
    <row r="10" customFormat="false" ht="15" hidden="false" customHeight="false" outlineLevel="0" collapsed="false">
      <c r="A10" s="6" t="s">
        <v>96</v>
      </c>
      <c r="B10" s="10" t="n">
        <f aca="false">$B$9*B5</f>
        <v>36873</v>
      </c>
      <c r="C10" s="10" t="n">
        <f aca="false">$B$9*C5</f>
        <v>49362</v>
      </c>
      <c r="D10" s="10" t="n">
        <f aca="false">$B$9*D5</f>
        <v>75450</v>
      </c>
      <c r="E10" s="10" t="n">
        <f aca="false">$B$9*E5</f>
        <v>105000</v>
      </c>
      <c r="F10" s="10" t="n">
        <f aca="false">$B$9*F5</f>
        <v>11718</v>
      </c>
    </row>
    <row r="11" customFormat="false" ht="15" hidden="false" customHeight="false" outlineLevel="0" collapsed="false">
      <c r="A11" s="6" t="s">
        <v>97</v>
      </c>
      <c r="B11" s="23" t="n">
        <f aca="false">B10-B6</f>
        <v>-47427</v>
      </c>
      <c r="C11" s="23" t="n">
        <f aca="false">C10-C6</f>
        <v>42256</v>
      </c>
      <c r="D11" s="23" t="n">
        <f aca="false">D10-D6</f>
        <v>34594</v>
      </c>
      <c r="E11" s="23" t="n">
        <f aca="false">E10-E6</f>
        <v>25230</v>
      </c>
      <c r="F11" s="23" t="n">
        <f aca="false">F10-F6</f>
        <v>9317</v>
      </c>
    </row>
    <row r="12" customFormat="false" ht="15" hidden="false" customHeight="false" outlineLevel="0" collapsed="false">
      <c r="A12" s="6" t="s">
        <v>98</v>
      </c>
      <c r="B12" s="24" t="str">
        <f aca="false">IF(B11&gt;=0,0,IF(Comps!B18&lt;=0,"never on cash flow alone",-B11/Comps!B18))</f>
        <v>never on cash flow alone</v>
      </c>
      <c r="C12" s="24" t="n">
        <f aca="false">IF(C11&gt;=0,0,IF(Comps!C18&lt;=0,"never on cash flow alone",-C11/Comps!C18))</f>
        <v>0</v>
      </c>
      <c r="D12" s="24" t="n">
        <f aca="false">IF(D11&gt;=0,0,IF(Comps!D18&lt;=0,"never on cash flow alone",-D11/Comps!D18))</f>
        <v>0</v>
      </c>
      <c r="E12" s="24" t="n">
        <f aca="false">IF(E11&gt;=0,0,IF(Comps!E18&lt;=0,"never on cash flow alone",-E11/Comps!E18))</f>
        <v>0</v>
      </c>
      <c r="F12" s="24" t="n">
        <f aca="false">IF(F11&gt;=0,0,IF(Comps!F18&lt;=0,"never on cash flow alone",-F11/Comps!F18))</f>
        <v>0</v>
      </c>
    </row>
    <row r="14" customFormat="false" ht="15" hidden="false" customHeight="false" outlineLevel="0" collapsed="false">
      <c r="A14" s="12" t="s">
        <v>99</v>
      </c>
      <c r="B14" s="22" t="n">
        <v>2</v>
      </c>
      <c r="G14" s="7" t="s">
        <v>100</v>
      </c>
    </row>
    <row r="15" customFormat="false" ht="15" hidden="false" customHeight="false" outlineLevel="0" collapsed="false">
      <c r="A15" s="6" t="s">
        <v>96</v>
      </c>
      <c r="B15" s="10" t="n">
        <f aca="false">$B$14*B5</f>
        <v>24582</v>
      </c>
      <c r="C15" s="10" t="n">
        <f aca="false">$B$14*C5</f>
        <v>32908</v>
      </c>
      <c r="D15" s="10" t="n">
        <f aca="false">$B$14*D5</f>
        <v>50300</v>
      </c>
      <c r="E15" s="10" t="n">
        <f aca="false">$B$14*E5</f>
        <v>70000</v>
      </c>
      <c r="F15" s="10" t="n">
        <f aca="false">$B$14*F5</f>
        <v>7812</v>
      </c>
    </row>
    <row r="16" customFormat="false" ht="15" hidden="false" customHeight="false" outlineLevel="0" collapsed="false">
      <c r="A16" s="6" t="s">
        <v>97</v>
      </c>
      <c r="B16" s="23" t="n">
        <f aca="false">B15-B6</f>
        <v>-59718</v>
      </c>
      <c r="C16" s="23" t="n">
        <f aca="false">C15-C6</f>
        <v>25802</v>
      </c>
      <c r="D16" s="23" t="n">
        <f aca="false">D15-D6</f>
        <v>9444</v>
      </c>
      <c r="E16" s="23" t="n">
        <f aca="false">E15-E6</f>
        <v>-9770</v>
      </c>
      <c r="F16" s="23" t="n">
        <f aca="false">F15-F6</f>
        <v>5411</v>
      </c>
    </row>
    <row r="17" customFormat="false" ht="15" hidden="false" customHeight="false" outlineLevel="0" collapsed="false">
      <c r="A17" s="6" t="s">
        <v>98</v>
      </c>
      <c r="B17" s="24" t="str">
        <f aca="false">IF(B16&gt;=0,0,IF(Comps!B18&lt;=0,"never on cash flow alone",-B16/Comps!B18))</f>
        <v>never on cash flow alone</v>
      </c>
      <c r="C17" s="24" t="n">
        <f aca="false">IF(C16&gt;=0,0,IF(Comps!C18&lt;=0,"never on cash flow alone",-C16/Comps!C18))</f>
        <v>0</v>
      </c>
      <c r="D17" s="24" t="n">
        <f aca="false">IF(D16&gt;=0,0,IF(Comps!D18&lt;=0,"never on cash flow alone",-D16/Comps!D18))</f>
        <v>0</v>
      </c>
      <c r="E17" s="24" t="n">
        <f aca="false">IF(E16&gt;=0,0,IF(Comps!E18&lt;=0,"never on cash flow alone",-E16/Comps!E18))</f>
        <v>0.77607435062356</v>
      </c>
      <c r="F17" s="24" t="n">
        <f aca="false">IF(F16&gt;=0,0,IF(Comps!F18&lt;=0,"never on cash flow alone",-F16/Comps!F18))</f>
        <v>0</v>
      </c>
    </row>
    <row r="19" customFormat="false" ht="15" hidden="false" customHeight="false" outlineLevel="0" collapsed="false">
      <c r="A19" s="12" t="s">
        <v>101</v>
      </c>
      <c r="B19" s="22" t="n">
        <v>4.5</v>
      </c>
      <c r="G19" s="7" t="s">
        <v>102</v>
      </c>
    </row>
    <row r="20" customFormat="false" ht="15" hidden="false" customHeight="false" outlineLevel="0" collapsed="false">
      <c r="A20" s="6" t="s">
        <v>96</v>
      </c>
      <c r="B20" s="10" t="n">
        <f aca="false">$B$19*B5</f>
        <v>55309.5</v>
      </c>
      <c r="C20" s="10" t="n">
        <f aca="false">$B$19*C5</f>
        <v>74043</v>
      </c>
      <c r="D20" s="10" t="n">
        <f aca="false">$B$19*D5</f>
        <v>113175</v>
      </c>
      <c r="E20" s="10" t="n">
        <f aca="false">$B$19*E5</f>
        <v>157500</v>
      </c>
      <c r="F20" s="10" t="n">
        <f aca="false">$B$19*F5</f>
        <v>17577</v>
      </c>
    </row>
    <row r="21" customFormat="false" ht="15" hidden="false" customHeight="false" outlineLevel="0" collapsed="false">
      <c r="A21" s="6" t="s">
        <v>97</v>
      </c>
      <c r="B21" s="23" t="n">
        <f aca="false">B20-B6</f>
        <v>-28990.5</v>
      </c>
      <c r="C21" s="23" t="n">
        <f aca="false">C20-C6</f>
        <v>66937</v>
      </c>
      <c r="D21" s="23" t="n">
        <f aca="false">D20-D6</f>
        <v>72319</v>
      </c>
      <c r="E21" s="23" t="n">
        <f aca="false">E20-E6</f>
        <v>77730</v>
      </c>
      <c r="F21" s="23" t="n">
        <f aca="false">F20-F6</f>
        <v>15176</v>
      </c>
    </row>
    <row r="22" customFormat="false" ht="15" hidden="false" customHeight="false" outlineLevel="0" collapsed="false">
      <c r="A22" s="6" t="s">
        <v>98</v>
      </c>
      <c r="B22" s="24" t="str">
        <f aca="false">IF(B21&gt;=0,0,IF(Comps!B18&lt;=0,"never on cash flow alone",-B21/Comps!B18))</f>
        <v>never on cash flow alone</v>
      </c>
      <c r="C22" s="24" t="n">
        <f aca="false">IF(C21&gt;=0,0,IF(Comps!C18&lt;=0,"never on cash flow alone",-C21/Comps!C18))</f>
        <v>0</v>
      </c>
      <c r="D22" s="24" t="n">
        <f aca="false">IF(D21&gt;=0,0,IF(Comps!D18&lt;=0,"never on cash flow alone",-D21/Comps!D18))</f>
        <v>0</v>
      </c>
      <c r="E22" s="24" t="n">
        <f aca="false">IF(E21&gt;=0,0,IF(Comps!E18&lt;=0,"never on cash flow alone",-E21/Comps!E18))</f>
        <v>0</v>
      </c>
      <c r="F22" s="24" t="n">
        <f aca="false">IF(F21&gt;=0,0,IF(Comps!F18&lt;=0,"never on cash flow alone",-F21/Comps!F18))</f>
        <v>0</v>
      </c>
    </row>
    <row r="24" customFormat="false" ht="15" hidden="false" customHeight="false" outlineLevel="0" collapsed="false">
      <c r="A24" s="2"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2"/>
    <col collapsed="false" customWidth="true" hidden="false" outlineLevel="0" max="8" min="8" style="0" width="46"/>
  </cols>
  <sheetData>
    <row r="1" customFormat="false" ht="17.35" hidden="false" customHeight="false" outlineLevel="0" collapsed="false">
      <c r="A1" s="1" t="s">
        <v>104</v>
      </c>
    </row>
    <row r="2" customFormat="false" ht="15" hidden="false" customHeight="false" outlineLevel="0" collapsed="false">
      <c r="A2" s="2" t="s">
        <v>1</v>
      </c>
    </row>
    <row r="4" customFormat="false" ht="42" hidden="false" customHeight="true" outlineLevel="0" collapsed="false">
      <c r="A4" s="4" t="s">
        <v>105</v>
      </c>
      <c r="B4" s="5" t="s">
        <v>23</v>
      </c>
      <c r="C4" s="5" t="s">
        <v>106</v>
      </c>
      <c r="D4" s="5" t="s">
        <v>107</v>
      </c>
      <c r="E4" s="5" t="s">
        <v>108</v>
      </c>
      <c r="F4" s="5" t="s">
        <v>109</v>
      </c>
      <c r="G4" s="5" t="s">
        <v>110</v>
      </c>
      <c r="H4" s="5" t="s">
        <v>14</v>
      </c>
    </row>
    <row r="5" customFormat="false" ht="15" hidden="false" customHeight="false" outlineLevel="0" collapsed="false">
      <c r="A5" s="6" t="s">
        <v>111</v>
      </c>
      <c r="B5" s="8" t="n">
        <v>12291</v>
      </c>
      <c r="C5" s="8" t="n">
        <v>13599</v>
      </c>
      <c r="D5" s="8" t="n">
        <v>15227</v>
      </c>
      <c r="E5" s="8" t="n">
        <v>16272</v>
      </c>
      <c r="F5" s="8" t="n">
        <v>16367</v>
      </c>
      <c r="G5" s="8" t="n">
        <v>16308</v>
      </c>
      <c r="H5" s="7" t="s">
        <v>112</v>
      </c>
    </row>
    <row r="6" customFormat="false" ht="15" hidden="false" customHeight="false" outlineLevel="0" collapsed="false">
      <c r="A6" s="6" t="s">
        <v>113</v>
      </c>
      <c r="B6" s="8" t="n">
        <v>6435</v>
      </c>
      <c r="C6" s="8" t="n">
        <v>6802</v>
      </c>
      <c r="D6" s="8" t="n">
        <v>8479</v>
      </c>
      <c r="E6" s="8" t="n">
        <v>10247</v>
      </c>
      <c r="F6" s="8" t="n">
        <v>10737</v>
      </c>
      <c r="G6" s="8" t="n">
        <v>10961</v>
      </c>
      <c r="H6" s="7" t="s">
        <v>114</v>
      </c>
    </row>
    <row r="7" customFormat="false" ht="15" hidden="false" customHeight="false" outlineLevel="0" collapsed="false">
      <c r="A7" s="6" t="s">
        <v>115</v>
      </c>
      <c r="B7" s="16" t="n">
        <v>0.075</v>
      </c>
      <c r="H7" s="7" t="s">
        <v>116</v>
      </c>
    </row>
    <row r="8" customFormat="false" ht="15" hidden="false" customHeight="false" outlineLevel="0" collapsed="false">
      <c r="A8" s="6" t="s">
        <v>117</v>
      </c>
      <c r="B8" s="8" t="n">
        <v>1070</v>
      </c>
      <c r="H8" s="7" t="s">
        <v>118</v>
      </c>
    </row>
    <row r="9" customFormat="false" ht="15" hidden="false" customHeight="false" outlineLevel="0" collapsed="false">
      <c r="A9" s="6" t="s">
        <v>119</v>
      </c>
      <c r="B9" s="16" t="n">
        <v>0.19</v>
      </c>
    </row>
    <row r="11" customFormat="false" ht="15" hidden="false" customHeight="false" outlineLevel="0" collapsed="false">
      <c r="A11" s="6" t="s">
        <v>120</v>
      </c>
      <c r="B11" s="10" t="n">
        <f aca="false">Comps!B12</f>
        <v>84300</v>
      </c>
      <c r="C11" s="10" t="n">
        <f aca="false">B15</f>
        <v>84481.925</v>
      </c>
      <c r="D11" s="10" t="n">
        <f aca="false">C15</f>
        <v>85086.069375</v>
      </c>
      <c r="E11" s="10" t="n">
        <f aca="false">D15</f>
        <v>84058.524578125</v>
      </c>
      <c r="F11" s="10" t="n">
        <f aca="false">E15</f>
        <v>81185.9139214844</v>
      </c>
      <c r="G11" s="10" t="n">
        <f aca="false">F15</f>
        <v>77607.8574655957</v>
      </c>
    </row>
    <row r="12" customFormat="false" ht="15" hidden="false" customHeight="false" outlineLevel="0" collapsed="false">
      <c r="A12" s="6" t="s">
        <v>121</v>
      </c>
      <c r="B12" s="10" t="n">
        <f aca="false">-B11*$B$7*$B$9</f>
        <v>-1201.275</v>
      </c>
      <c r="C12" s="10" t="n">
        <f aca="false">-C11*$B$7*1</f>
        <v>-6336.144375</v>
      </c>
      <c r="D12" s="10" t="n">
        <f aca="false">-D11*$B$7*1</f>
        <v>-6381.455203125</v>
      </c>
      <c r="E12" s="10" t="n">
        <f aca="false">-E11*$B$7*1</f>
        <v>-6304.38934335938</v>
      </c>
      <c r="F12" s="10" t="n">
        <f aca="false">-F11*$B$7*1</f>
        <v>-6088.94354411133</v>
      </c>
      <c r="G12" s="10" t="n">
        <f aca="false">-G11*$B$7*1</f>
        <v>-5820.58930991968</v>
      </c>
    </row>
    <row r="13" customFormat="false" ht="15" hidden="false" customHeight="false" outlineLevel="0" collapsed="false">
      <c r="A13" s="6" t="s">
        <v>122</v>
      </c>
      <c r="B13" s="10" t="n">
        <f aca="false">-$B$8*$B$9</f>
        <v>-203.3</v>
      </c>
      <c r="C13" s="10" t="n">
        <f aca="false">-$B$8*1</f>
        <v>-1070</v>
      </c>
      <c r="D13" s="10" t="n">
        <f aca="false">-$B$8*1</f>
        <v>-1070</v>
      </c>
      <c r="E13" s="10" t="n">
        <f aca="false">-$B$8*1</f>
        <v>-1070</v>
      </c>
      <c r="F13" s="10" t="n">
        <f aca="false">-$B$8*1</f>
        <v>-1070</v>
      </c>
      <c r="G13" s="10" t="n">
        <f aca="false">-$B$8*1</f>
        <v>-1070</v>
      </c>
    </row>
    <row r="14" customFormat="false" ht="15" hidden="false" customHeight="false" outlineLevel="0" collapsed="false">
      <c r="A14" s="6" t="s">
        <v>123</v>
      </c>
      <c r="B14" s="10" t="n">
        <f aca="false">B6*$B$9+B12+B13</f>
        <v>-181.925</v>
      </c>
      <c r="C14" s="10" t="n">
        <f aca="false">C6*1+C12+C13</f>
        <v>-604.144375</v>
      </c>
      <c r="D14" s="10" t="n">
        <f aca="false">D6*1+D12+D13</f>
        <v>1027.544796875</v>
      </c>
      <c r="E14" s="10" t="n">
        <f aca="false">E6*1+E12+E13</f>
        <v>2872.61065664062</v>
      </c>
      <c r="F14" s="10" t="n">
        <f aca="false">F6*1+F12+F13</f>
        <v>3578.05645588867</v>
      </c>
      <c r="G14" s="10" t="n">
        <f aca="false">G6*1+G12+G13</f>
        <v>4070.41069008032</v>
      </c>
      <c r="H14" s="7" t="s">
        <v>124</v>
      </c>
    </row>
    <row r="15" customFormat="false" ht="15" hidden="false" customHeight="false" outlineLevel="0" collapsed="false">
      <c r="A15" s="6" t="s">
        <v>125</v>
      </c>
      <c r="B15" s="25" t="n">
        <f aca="false">B11-B14</f>
        <v>84481.925</v>
      </c>
      <c r="C15" s="25" t="n">
        <f aca="false">C11-C14</f>
        <v>85086.069375</v>
      </c>
      <c r="D15" s="25" t="n">
        <f aca="false">D11-D14</f>
        <v>84058.524578125</v>
      </c>
      <c r="E15" s="25" t="n">
        <f aca="false">E11-E14</f>
        <v>81185.9139214844</v>
      </c>
      <c r="F15" s="25" t="n">
        <f aca="false">F11-F14</f>
        <v>77607.8574655957</v>
      </c>
      <c r="G15" s="25" t="n">
        <f aca="false">G11-G14</f>
        <v>73537.4467755154</v>
      </c>
    </row>
    <row r="16" customFormat="false" ht="15" hidden="false" customHeight="false" outlineLevel="0" collapsed="false">
      <c r="A16" s="6" t="s">
        <v>126</v>
      </c>
      <c r="B16" s="13" t="n">
        <f aca="false">B15/B5</f>
        <v>6.8734785615491</v>
      </c>
      <c r="C16" s="13" t="n">
        <f aca="false">C15/C5</f>
        <v>6.25678868850651</v>
      </c>
      <c r="D16" s="13" t="n">
        <f aca="false">D15/D5</f>
        <v>5.52036018770112</v>
      </c>
      <c r="E16" s="13" t="n">
        <f aca="false">E15/E5</f>
        <v>4.98930149468316</v>
      </c>
      <c r="F16" s="13" t="n">
        <f aca="false">F15/F5</f>
        <v>4.74172771220112</v>
      </c>
      <c r="G16" s="13" t="n">
        <f aca="false">G15/G5</f>
        <v>4.50928665535415</v>
      </c>
      <c r="H16" s="7" t="s">
        <v>127</v>
      </c>
    </row>
    <row r="17" customFormat="false" ht="15" hidden="false" customHeight="false" outlineLevel="0" collapsed="false">
      <c r="A17" s="6" t="s">
        <v>128</v>
      </c>
      <c r="B17" s="22" t="n">
        <v>3</v>
      </c>
      <c r="C17" s="22" t="n">
        <v>3</v>
      </c>
      <c r="D17" s="22" t="n">
        <v>3</v>
      </c>
      <c r="E17" s="22" t="n">
        <v>3</v>
      </c>
      <c r="F17" s="22" t="n">
        <v>3</v>
      </c>
      <c r="G17" s="22" t="n">
        <v>3</v>
      </c>
    </row>
    <row r="18" customFormat="false" ht="15" hidden="false" customHeight="false" outlineLevel="0" collapsed="false">
      <c r="A18" s="6" t="s">
        <v>129</v>
      </c>
      <c r="B18" s="11" t="n">
        <f aca="false">B16-B17</f>
        <v>3.8734785615491</v>
      </c>
      <c r="C18" s="11" t="n">
        <f aca="false">C16-C17</f>
        <v>3.25678868850651</v>
      </c>
      <c r="D18" s="11" t="n">
        <f aca="false">D16-D17</f>
        <v>2.52036018770112</v>
      </c>
      <c r="E18" s="11" t="n">
        <f aca="false">E16-E17</f>
        <v>1.98930149468316</v>
      </c>
      <c r="F18" s="11" t="n">
        <f aca="false">F16-F17</f>
        <v>1.74172771220112</v>
      </c>
      <c r="G18" s="11" t="n">
        <f aca="false">G16-G17</f>
        <v>1.50928665535415</v>
      </c>
    </row>
    <row r="20" customFormat="false" ht="15" hidden="false" customHeight="false" outlineLevel="0" collapsed="false">
      <c r="A20" s="2"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8"/>
    <col collapsed="false" customWidth="true" hidden="false" outlineLevel="0" max="5" min="5" style="0" width="60"/>
  </cols>
  <sheetData>
    <row r="1" customFormat="false" ht="17.35" hidden="false" customHeight="false" outlineLevel="0" collapsed="false">
      <c r="A1" s="1" t="s">
        <v>131</v>
      </c>
    </row>
    <row r="2" customFormat="false" ht="15" hidden="false" customHeight="false" outlineLevel="0" collapsed="false">
      <c r="A2" s="2" t="s">
        <v>1</v>
      </c>
    </row>
    <row r="4" customFormat="false" ht="42" hidden="false" customHeight="true" outlineLevel="0" collapsed="false">
      <c r="A4" s="4" t="s">
        <v>132</v>
      </c>
      <c r="B4" s="5" t="s">
        <v>133</v>
      </c>
      <c r="C4" s="5" t="s">
        <v>134</v>
      </c>
      <c r="D4" s="5" t="s">
        <v>135</v>
      </c>
      <c r="E4" s="5" t="s">
        <v>136</v>
      </c>
    </row>
    <row r="5" customFormat="false" ht="15" hidden="false" customHeight="false" outlineLevel="0" collapsed="false">
      <c r="A5" s="6" t="s">
        <v>137</v>
      </c>
      <c r="B5" s="6" t="s">
        <v>138</v>
      </c>
      <c r="C5" s="6" t="s">
        <v>139</v>
      </c>
      <c r="D5" s="6" t="s">
        <v>140</v>
      </c>
      <c r="E5" s="7" t="s">
        <v>141</v>
      </c>
    </row>
    <row r="6" customFormat="false" ht="15" hidden="false" customHeight="false" outlineLevel="0" collapsed="false">
      <c r="A6" s="6" t="s">
        <v>142</v>
      </c>
      <c r="B6" s="6" t="s">
        <v>143</v>
      </c>
      <c r="C6" s="6" t="s">
        <v>139</v>
      </c>
      <c r="D6" s="6" t="s">
        <v>144</v>
      </c>
      <c r="E6" s="7" t="s">
        <v>145</v>
      </c>
    </row>
    <row r="7" customFormat="false" ht="15" hidden="false" customHeight="false" outlineLevel="0" collapsed="false">
      <c r="A7" s="6" t="s">
        <v>146</v>
      </c>
      <c r="B7" s="6" t="s">
        <v>147</v>
      </c>
      <c r="C7" s="6" t="s">
        <v>148</v>
      </c>
      <c r="D7" s="6" t="s">
        <v>149</v>
      </c>
      <c r="E7" s="7" t="s">
        <v>150</v>
      </c>
    </row>
    <row r="8" customFormat="false" ht="15" hidden="false" customHeight="false" outlineLevel="0" collapsed="false">
      <c r="A8" s="6" t="s">
        <v>151</v>
      </c>
      <c r="B8" s="6" t="s">
        <v>152</v>
      </c>
      <c r="C8" s="6" t="s">
        <v>139</v>
      </c>
      <c r="D8" s="6" t="s">
        <v>153</v>
      </c>
      <c r="E8" s="7" t="s">
        <v>154</v>
      </c>
    </row>
    <row r="9" customFormat="false" ht="15" hidden="false" customHeight="false" outlineLevel="0" collapsed="false">
      <c r="A9" s="6" t="s">
        <v>155</v>
      </c>
      <c r="B9" s="6" t="s">
        <v>156</v>
      </c>
      <c r="C9" s="6" t="s">
        <v>157</v>
      </c>
      <c r="D9" s="6"/>
      <c r="E9" s="7" t="s">
        <v>158</v>
      </c>
    </row>
    <row r="10" customFormat="false" ht="15" hidden="false" customHeight="false" outlineLevel="0" collapsed="false">
      <c r="A10" s="6" t="s">
        <v>159</v>
      </c>
      <c r="B10" s="6" t="s">
        <v>160</v>
      </c>
      <c r="C10" s="6" t="s">
        <v>161</v>
      </c>
      <c r="D10" s="6" t="s">
        <v>162</v>
      </c>
      <c r="E10" s="7" t="s">
        <v>163</v>
      </c>
    </row>
    <row r="11" customFormat="false" ht="15" hidden="false" customHeight="false" outlineLevel="0" collapsed="false">
      <c r="A11" s="6" t="s">
        <v>12</v>
      </c>
      <c r="B11" s="6" t="s">
        <v>164</v>
      </c>
      <c r="C11" s="6"/>
      <c r="D11" s="6"/>
      <c r="E11" s="7" t="s">
        <v>165</v>
      </c>
    </row>
    <row r="12" customFormat="false" ht="15" hidden="false" customHeight="false" outlineLevel="0" collapsed="false">
      <c r="A12" s="6" t="s">
        <v>11</v>
      </c>
      <c r="B12" s="6" t="s">
        <v>164</v>
      </c>
      <c r="C12" s="6"/>
      <c r="D12" s="6"/>
      <c r="E12" s="7" t="s">
        <v>166</v>
      </c>
    </row>
    <row r="13" customFormat="false" ht="15" hidden="false" customHeight="false" outlineLevel="0" collapsed="false">
      <c r="A13" s="6" t="s">
        <v>13</v>
      </c>
      <c r="B13" s="6" t="s">
        <v>164</v>
      </c>
      <c r="C13" s="6"/>
      <c r="D13" s="6"/>
      <c r="E13" s="7" t="s">
        <v>167</v>
      </c>
    </row>
    <row r="15" customFormat="false" ht="15" hidden="false" customHeight="false" outlineLevel="0" collapsed="false">
      <c r="A15" s="2"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0"/>
  </cols>
  <sheetData>
    <row r="1" customFormat="false" ht="17.35" hidden="false" customHeight="false" outlineLevel="0" collapsed="false">
      <c r="A1" s="1" t="s">
        <v>169</v>
      </c>
    </row>
    <row r="2" customFormat="false" ht="15" hidden="false" customHeight="false" outlineLevel="0" collapsed="false">
      <c r="A2" s="2" t="s">
        <v>1</v>
      </c>
    </row>
    <row r="4" customFormat="false" ht="42" hidden="false" customHeight="true" outlineLevel="0" collapsed="false">
      <c r="A4" s="4" t="s">
        <v>170</v>
      </c>
      <c r="B4" s="5" t="s">
        <v>171</v>
      </c>
    </row>
    <row r="5" customFormat="false" ht="15" hidden="false" customHeight="false" outlineLevel="0" collapsed="false">
      <c r="A5" s="6" t="n">
        <v>1</v>
      </c>
      <c r="B5" s="6" t="s">
        <v>172</v>
      </c>
    </row>
    <row r="6" customFormat="false" ht="15" hidden="false" customHeight="false" outlineLevel="0" collapsed="false">
      <c r="A6" s="6" t="n">
        <v>2</v>
      </c>
      <c r="B6" s="6" t="s">
        <v>173</v>
      </c>
    </row>
    <row r="7" customFormat="false" ht="15" hidden="false" customHeight="false" outlineLevel="0" collapsed="false">
      <c r="A7" s="6" t="n">
        <v>3</v>
      </c>
      <c r="B7" s="6" t="s">
        <v>174</v>
      </c>
    </row>
    <row r="8" customFormat="false" ht="15" hidden="false" customHeight="false" outlineLevel="0" collapsed="false">
      <c r="A8" s="6" t="n">
        <v>4</v>
      </c>
      <c r="B8" s="6" t="s">
        <v>175</v>
      </c>
    </row>
    <row r="9" customFormat="false" ht="15" hidden="false" customHeight="false" outlineLevel="0" collapsed="false">
      <c r="A9" s="6" t="n">
        <v>5</v>
      </c>
      <c r="B9" s="6" t="s">
        <v>176</v>
      </c>
    </row>
    <row r="10" customFormat="false" ht="15" hidden="false" customHeight="false" outlineLevel="0" collapsed="false">
      <c r="A10" s="6" t="n">
        <v>6</v>
      </c>
      <c r="B10" s="6" t="s">
        <v>177</v>
      </c>
    </row>
    <row r="11" customFormat="false" ht="15" hidden="false" customHeight="false" outlineLevel="0" collapsed="false">
      <c r="A11" s="6" t="n">
        <v>7</v>
      </c>
      <c r="B11" s="6" t="s">
        <v>178</v>
      </c>
    </row>
    <row r="12" customFormat="false" ht="15" hidden="false" customHeight="false" outlineLevel="0" collapsed="false">
      <c r="A12" s="6" t="n">
        <v>8</v>
      </c>
      <c r="B12" s="6" t="s">
        <v>179</v>
      </c>
    </row>
    <row r="14" customFormat="false" ht="15" hidden="false" customHeight="false" outlineLevel="0" collapsed="false">
      <c r="B14" s="2"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2026-10-25T18:12:38Z</dcterms:created>
  <dc:creator>openpyxl</dc:creator>
  <dc:description/>
  <dc:language>en-US</dc:language>
  <cp:lastModifiedBy/>
  <dcterms:modified xsi:type="dcterms:W3CDTF">2026-10-25T18:12:38Z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