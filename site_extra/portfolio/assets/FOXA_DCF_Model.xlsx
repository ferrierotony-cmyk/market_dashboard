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puts" sheetId="2" state="visible" r:id="rId4"/>
    <sheet name="Historical" sheetId="3" state="visible" r:id="rId5"/>
    <sheet name="Forecast" sheetId="4" state="visible" r:id="rId6"/>
    <sheet name="WACC" sheetId="5" state="visible" r:id="rId7"/>
    <sheet name="DCF" sheetId="6" state="visible" r:id="rId8"/>
    <sheet name="Sensitivity" sheetId="7" state="visible" r:id="rId9"/>
    <sheet name="Sourc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<sst xmlns="http://schemas.openxmlformats.org/spreadsheetml/2006/main" count="287" uniqueCount="234">
  <si>
    <t xml:space="preserve">Fox Corporation DCF: read me first</t>
  </si>
  <si>
    <t xml:space="preserve">Fox Corporation (NASDAQ: FOXA). USD millions unless labelled. Blue = input, black = formula, green = link to another sheet. Same template as the Skydance model.</t>
  </si>
  <si>
    <t xml:space="preserve">What this is: a discounted cash flow model of Fox on the same template as the Skydance model. Fox's fiscal year ends June 30, so the forecast runs FY2027 to FY2032 and about 68 percent of FY2027 remains from the October 24, 2026 valuation date.</t>
  </si>
  <si>
    <t xml:space="preserve">Fox agreed in June 2026 to buy Roku for about 22 billion of enterprise value, part cash and part stock, expected to close in the first half of calendar 2027. This model values Fox standalone and leaves Roku out. A combined model needs the S-4 pro formas.</t>
  </si>
  <si>
    <t xml:space="preserve">Built October 24, 2026 from the FY2026 earnings release and 10-K and market data as of October 22.</t>
  </si>
  <si>
    <t xml:space="preserve">Use: change blue cells on Inputs. Scenario switch in Inputs!C5. Not a recommendation.</t>
  </si>
  <si>
    <t xml:space="preserve">Biggest judgments: how fast cable affiliate revenue declines, sports rights cost growth, and political advertising in even years.</t>
  </si>
  <si>
    <t xml:space="preserve">Inputs and scenarios</t>
  </si>
  <si>
    <t xml:space="preserve">Scenario selector</t>
  </si>
  <si>
    <t xml:space="preserve">Active scenario (1 Base, 2 Bear, 3 Bull)</t>
  </si>
  <si>
    <t xml:space="preserve">Active scenario name</t>
  </si>
  <si>
    <t xml:space="preserve">Base year FY2026 (USD m)</t>
  </si>
  <si>
    <t xml:space="preserve">Value</t>
  </si>
  <si>
    <t xml:space="preserve">Source</t>
  </si>
  <si>
    <t xml:space="preserve">Revenue FY2026</t>
  </si>
  <si>
    <t xml:space="preserve">FY2026 earnings release [1]</t>
  </si>
  <si>
    <t xml:space="preserve">Adjusted EBITDA FY2026</t>
  </si>
  <si>
    <t xml:space="preserve">[1]</t>
  </si>
  <si>
    <t xml:space="preserve">D and A FY2026</t>
  </si>
  <si>
    <t xml:space="preserve">Stock based compensation FY2026</t>
  </si>
  <si>
    <t xml:space="preserve">Capex FY2026</t>
  </si>
  <si>
    <t xml:space="preserve">Free cash flow FY2026, derived</t>
  </si>
  <si>
    <t xml:space="preserve">Operating cash flow 1,970 less capex [1]</t>
  </si>
  <si>
    <t xml:space="preserve">Revenue build, FY2027E (USD m)</t>
  </si>
  <si>
    <t xml:space="preserve">Cable Network Programming</t>
  </si>
  <si>
    <t xml:space="preserve">FY2026 7,348 [1]. Analyst estimate for FY2027.</t>
  </si>
  <si>
    <t xml:space="preserve">Television</t>
  </si>
  <si>
    <t xml:space="preserve">FY2026 9,666 [1], midterm political advertising in FY2027. Analyst estimate.</t>
  </si>
  <si>
    <t xml:space="preserve">Other</t>
  </si>
  <si>
    <t xml:space="preserve">FY2026 526 [1]. Analyst estimate.</t>
  </si>
  <si>
    <t xml:space="preserve">Total FY2027E revenue</t>
  </si>
  <si>
    <t xml:space="preserve">FY2026 reported 17,126 [1]</t>
  </si>
  <si>
    <t xml:space="preserve">Drivers by scenario</t>
  </si>
  <si>
    <t xml:space="preserve">FY2027E</t>
  </si>
  <si>
    <t xml:space="preserve">FY2028E</t>
  </si>
  <si>
    <t xml:space="preserve">FY2029E</t>
  </si>
  <si>
    <t xml:space="preserve">FY2030E</t>
  </si>
  <si>
    <t xml:space="preserve">FY2031E</t>
  </si>
  <si>
    <t xml:space="preserve">FY2032E</t>
  </si>
  <si>
    <t xml:space="preserve">Note</t>
  </si>
  <si>
    <t xml:space="preserve">Cable growth: Base</t>
  </si>
  <si>
    <t xml:space="preserve">Fox News ratings and distribution fees against cord cutting. Even fiscal years carry political advertising.</t>
  </si>
  <si>
    <t xml:space="preserve">Cable growth: Bear</t>
  </si>
  <si>
    <t xml:space="preserve">Cable growth: Bull</t>
  </si>
  <si>
    <t xml:space="preserve">Cable growth: ACTIVE</t>
  </si>
  <si>
    <t xml:space="preserve">Television growth: Base</t>
  </si>
  <si>
    <t xml:space="preserve">Tubi growth and NFL against broadcast decline. Super Bowl and World Cup years lift revenue.</t>
  </si>
  <si>
    <t xml:space="preserve">Television growth: Bear</t>
  </si>
  <si>
    <t xml:space="preserve">Television growth: Bull</t>
  </si>
  <si>
    <t xml:space="preserve">Television growth: ACTIVE</t>
  </si>
  <si>
    <t xml:space="preserve">Other growth: Base</t>
  </si>
  <si>
    <t xml:space="preserve">Small.</t>
  </si>
  <si>
    <t xml:space="preserve">Other growth: Bear</t>
  </si>
  <si>
    <t xml:space="preserve">Other growth: Bull</t>
  </si>
  <si>
    <t xml:space="preserve">Other growth: ACTIVE</t>
  </si>
  <si>
    <t xml:space="preserve">Underlying EBITDA margin: Base</t>
  </si>
  <si>
    <t xml:space="preserve">FY2026 margin 22.8 percent [1]. Base drifts down as sports rights grow faster than revenue.</t>
  </si>
  <si>
    <t xml:space="preserve">Underlying EBITDA margin: Bear</t>
  </si>
  <si>
    <t xml:space="preserve">Underlying EBITDA margin: Bull</t>
  </si>
  <si>
    <t xml:space="preserve">Underlying EBITDA margin: ACTIVE</t>
  </si>
  <si>
    <t xml:space="preserve">Other EBITDA items: Base</t>
  </si>
  <si>
    <t xml:space="preserve">No synergy line. Roku synergies are excluded with Roku.</t>
  </si>
  <si>
    <t xml:space="preserve">Other EBITDA items: Bear</t>
  </si>
  <si>
    <t xml:space="preserve">Other EBITDA items: Bull</t>
  </si>
  <si>
    <t xml:space="preserve">Other EBITDA items: ACTIVE</t>
  </si>
  <si>
    <t xml:space="preserve">Stock based compensation: Base</t>
  </si>
  <si>
    <t xml:space="preserve">SBC 132 in FY2026 [1].</t>
  </si>
  <si>
    <t xml:space="preserve">Stock based compensation: Bear</t>
  </si>
  <si>
    <t xml:space="preserve">Stock based compensation: Bull</t>
  </si>
  <si>
    <t xml:space="preserve">Stock based compensation: ACTIVE</t>
  </si>
  <si>
    <t xml:space="preserve">Cash restructuring and one offs: Base</t>
  </si>
  <si>
    <t xml:space="preserve">None assumed standalone.</t>
  </si>
  <si>
    <t xml:space="preserve">Cash restructuring and one offs: Bear</t>
  </si>
  <si>
    <t xml:space="preserve">Cash restructuring and one offs: Bull</t>
  </si>
  <si>
    <t xml:space="preserve">Cash restructuring and one offs: ACTIVE</t>
  </si>
  <si>
    <t xml:space="preserve">Capex as percent of revenue: Base</t>
  </si>
  <si>
    <t xml:space="preserve">Capex 502 on 17,126 in FY2026 [1], about 2.9 percent, with FY2025 lower.</t>
  </si>
  <si>
    <t xml:space="preserve">Capex as percent of revenue: Bear</t>
  </si>
  <si>
    <t xml:space="preserve">Capex as percent of revenue: Bull</t>
  </si>
  <si>
    <t xml:space="preserve">Capex as percent of revenue: ACTIVE</t>
  </si>
  <si>
    <t xml:space="preserve">Working capital and content investment, percent of revenue: Base</t>
  </si>
  <si>
    <t xml:space="preserve">Sports rights prepayments and working capital. Analyst input. FY2026 FCF fell to 1,468 from 2,993 without explanation in the release [1].</t>
  </si>
  <si>
    <t xml:space="preserve">Working capital and content investment, percent of revenue: Bear</t>
  </si>
  <si>
    <t xml:space="preserve">Working capital and content investment, percent of revenue: Bull</t>
  </si>
  <si>
    <t xml:space="preserve">Working capital and content investment, percent of revenue: ACTIVE</t>
  </si>
  <si>
    <t xml:space="preserve">Tax D and A: Base</t>
  </si>
  <si>
    <t xml:space="preserve">D and A 410 in FY2026 [1].</t>
  </si>
  <si>
    <t xml:space="preserve">Tax D and A: Bear</t>
  </si>
  <si>
    <t xml:space="preserve">Tax D and A: Bull</t>
  </si>
  <si>
    <t xml:space="preserve">Tax D and A: ACTIVE</t>
  </si>
  <si>
    <t xml:space="preserve">Valuation and market inputs</t>
  </si>
  <si>
    <t xml:space="preserve">Share price ($)</t>
  </si>
  <si>
    <t xml:space="preserve">October 22, 2026 close, MarketBeat [5]</t>
  </si>
  <si>
    <t xml:space="preserve">Shares outstanding (millions)</t>
  </si>
  <si>
    <t xml:space="preserve">10-K cover, August 4, 2026, Class A 199.4 plus Class B 220.2 [3]</t>
  </si>
  <si>
    <t xml:space="preserve">Gross debt</t>
  </si>
  <si>
    <t xml:space="preserve">Non current borrowings, June 30, 2026 [1]</t>
  </si>
  <si>
    <t xml:space="preserve">Cash</t>
  </si>
  <si>
    <t xml:space="preserve">June 30, 2026 [1]</t>
  </si>
  <si>
    <t xml:space="preserve">Noncontrolling interests and other claims</t>
  </si>
  <si>
    <t xml:space="preserve">None</t>
  </si>
  <si>
    <t xml:space="preserve">Stub fraction of first forecast year remaining</t>
  </si>
  <si>
    <t xml:space="preserve">October 24, 2026 to June 30, 2027</t>
  </si>
  <si>
    <t xml:space="preserve">Long term growth rate</t>
  </si>
  <si>
    <t xml:space="preserve">Analyst input. Linear heavy.</t>
  </si>
  <si>
    <t xml:space="preserve">Exit multiple, EV to EBITDA</t>
  </si>
  <si>
    <t xml:space="preserve">Analyst input. Market trades at about 6 times.</t>
  </si>
  <si>
    <t xml:space="preserve">Cash tax rate</t>
  </si>
  <si>
    <t xml:space="preserve">Same 23 percent in all five models. Statutory 21 federal plus state; company effective rates in the research file.</t>
  </si>
  <si>
    <t xml:space="preserve">Historical results</t>
  </si>
  <si>
    <t xml:space="preserve">USD millions</t>
  </si>
  <si>
    <t xml:space="preserve">FY2024</t>
  </si>
  <si>
    <t xml:space="preserve">FY2025</t>
  </si>
  <si>
    <t xml:space="preserve">FY2026</t>
  </si>
  <si>
    <t xml:space="preserve">Revenue</t>
  </si>
  <si>
    <t xml:space="preserve">[2][1]</t>
  </si>
  <si>
    <t xml:space="preserve">Distribution revenue</t>
  </si>
  <si>
    <t xml:space="preserve">Advertising revenue</t>
  </si>
  <si>
    <t xml:space="preserve">Cable Network Programming revenue</t>
  </si>
  <si>
    <t xml:space="preserve">Television revenue</t>
  </si>
  <si>
    <t xml:space="preserve">Adjusted EBITDA</t>
  </si>
  <si>
    <t xml:space="preserve">Cable Network Programming adjusted EBITDA</t>
  </si>
  <si>
    <t xml:space="preserve">Television adjusted EBITDA</t>
  </si>
  <si>
    <t xml:space="preserve">Corporate and other adjusted EBITDA</t>
  </si>
  <si>
    <t xml:space="preserve">Depreciation and amortization</t>
  </si>
  <si>
    <t xml:space="preserve">Capital expenditures</t>
  </si>
  <si>
    <t xml:space="preserve">Free cash flow, derived</t>
  </si>
  <si>
    <t xml:space="preserve">Net debt, period end</t>
  </si>
  <si>
    <t xml:space="preserve">derived [1]</t>
  </si>
  <si>
    <t xml:space="preserve">Fox relabelled affiliate fee revenue as Distribution and restated FY2025 by 124 [1]. FY2026 included Super Bowl LX in February 2026.</t>
  </si>
  <si>
    <t xml:space="preserve">Forecast</t>
  </si>
  <si>
    <t xml:space="preserve">Other revenue</t>
  </si>
  <si>
    <t xml:space="preserve">Total revenue</t>
  </si>
  <si>
    <t xml:space="preserve">Revenue growth</t>
  </si>
  <si>
    <t xml:space="preserve">Underlying EBITDA before other items</t>
  </si>
  <si>
    <t xml:space="preserve">Other EBITDA items (synergies, cost programs)</t>
  </si>
  <si>
    <t xml:space="preserve">Adjusted EBITDA margin</t>
  </si>
  <si>
    <t xml:space="preserve">Less stock based compensation</t>
  </si>
  <si>
    <t xml:space="preserve">Less cash restructuring and integration</t>
  </si>
  <si>
    <t xml:space="preserve">EBITDA after stock comp and one offs</t>
  </si>
  <si>
    <t xml:space="preserve">Less tax depreciation and amortization</t>
  </si>
  <si>
    <t xml:space="preserve">Taxable operating profit</t>
  </si>
  <si>
    <t xml:space="preserve">Cash taxes</t>
  </si>
  <si>
    <t xml:space="preserve">Less capital expenditures</t>
  </si>
  <si>
    <t xml:space="preserve">Less working capital and content investment</t>
  </si>
  <si>
    <t xml:space="preserve">Unlevered free cash flow</t>
  </si>
  <si>
    <t xml:space="preserve">Conversion, unlevered FCF over adjusted EBITDA</t>
  </si>
  <si>
    <t xml:space="preserve">Roku is excluded. The deal adds about 14,200 of cash consideration funded by a bridge loan and term loan, and about 143 million new FOXA shares [1].</t>
  </si>
  <si>
    <t xml:space="preserve">Cost of capital</t>
  </si>
  <si>
    <t xml:space="preserve">Input or step</t>
  </si>
  <si>
    <t xml:space="preserve">Basis</t>
  </si>
  <si>
    <t xml:space="preserve">Risk free rate, 10 year Treasury, October 22, 2026</t>
  </si>
  <si>
    <t xml:space="preserve">Mortgage News Daily, 4.954 percent on October 22, 2026. Same in all five models.</t>
  </si>
  <si>
    <t xml:space="preserve">Equity risk premium</t>
  </si>
  <si>
    <t xml:space="preserve">Analyst input, 4.5 percent in all five models.</t>
  </si>
  <si>
    <t xml:space="preserve">Unlevered beta</t>
  </si>
  <si>
    <t xml:space="preserve">Quoted beta 0.60 [5] at under 0.1 debt to equity. Analyst input.</t>
  </si>
  <si>
    <t xml:space="preserve">Market value of equity</t>
  </si>
  <si>
    <t xml:space="preserve">Price times shares</t>
  </si>
  <si>
    <t xml:space="preserve">Net debt</t>
  </si>
  <si>
    <t xml:space="preserve">Latest balance sheet</t>
  </si>
  <si>
    <t xml:space="preserve">Debt to equity</t>
  </si>
  <si>
    <t xml:space="preserve">Tax rate</t>
  </si>
  <si>
    <t xml:space="preserve">Levered beta</t>
  </si>
  <si>
    <t xml:space="preserve">Hamada relevering</t>
  </si>
  <si>
    <t xml:space="preserve">Cost of equity</t>
  </si>
  <si>
    <t xml:space="preserve">CAPM</t>
  </si>
  <si>
    <t xml:space="preserve">Pre tax cost of debt</t>
  </si>
  <si>
    <t xml:space="preserve">BBB area ratings are unverified in this pass. Analyst input.</t>
  </si>
  <si>
    <t xml:space="preserve">After tax cost of debt</t>
  </si>
  <si>
    <t xml:space="preserve">Weight of equity</t>
  </si>
  <si>
    <t xml:space="preserve">Market weights at the latest close</t>
  </si>
  <si>
    <t xml:space="preserve">Weight of debt</t>
  </si>
  <si>
    <t xml:space="preserve">WACC</t>
  </si>
  <si>
    <t xml:space="preserve">Net cash companies: when net debt is below zero the debt weight is zero and the WACC equals the cost of equity on the equity weight above 100 percent; the formulas handle that but read the weights.</t>
  </si>
  <si>
    <t xml:space="preserve">Discounted cash flow</t>
  </si>
  <si>
    <t xml:space="preserve">Fraction of year included</t>
  </si>
  <si>
    <t xml:space="preserve">Cash flow included</t>
  </si>
  <si>
    <t xml:space="preserve">Discount period, years from valuation date, mid year</t>
  </si>
  <si>
    <t xml:space="preserve">Discount factor</t>
  </si>
  <si>
    <t xml:space="preserve">Present value</t>
  </si>
  <si>
    <t xml:space="preserve">Terminal value, perpetuity growth method</t>
  </si>
  <si>
    <t xml:space="preserve">Long term growth</t>
  </si>
  <si>
    <t xml:space="preserve">Terminal year cash flow, grown one year</t>
  </si>
  <si>
    <t xml:space="preserve">Terminal value at end of forecast</t>
  </si>
  <si>
    <t xml:space="preserve">Discount factor, end of forecast</t>
  </si>
  <si>
    <t xml:space="preserve">Present value of terminal value</t>
  </si>
  <si>
    <t xml:space="preserve">Implied exit multiple of final year EBITDA</t>
  </si>
  <si>
    <t xml:space="preserve">Terminal value, exit multiple method</t>
  </si>
  <si>
    <t xml:space="preserve">Exit multiple</t>
  </si>
  <si>
    <t xml:space="preserve">Implied perpetuity growth</t>
  </si>
  <si>
    <t xml:space="preserve">Enterprise value and bridge to equity</t>
  </si>
  <si>
    <t xml:space="preserve">Perpetuity</t>
  </si>
  <si>
    <t xml:space="preserve">Sum of present value of forecast cash flows</t>
  </si>
  <si>
    <t xml:space="preserve">Enterprise value</t>
  </si>
  <si>
    <t xml:space="preserve">Terminal value share of enterprise value</t>
  </si>
  <si>
    <t xml:space="preserve">Less net debt</t>
  </si>
  <si>
    <t xml:space="preserve">Less noncontrolling interests and other claims</t>
  </si>
  <si>
    <t xml:space="preserve">Equity value</t>
  </si>
  <si>
    <t xml:space="preserve">Shares outstanding, millions</t>
  </si>
  <si>
    <t xml:space="preserve">Implied value per share</t>
  </si>
  <si>
    <t xml:space="preserve">Model output under stated assumptions, not a recommendation.</t>
  </si>
  <si>
    <t xml:space="preserve">Market price</t>
  </si>
  <si>
    <t xml:space="preserve">Model value over market price</t>
  </si>
  <si>
    <t xml:space="preserve">Market enterprise value for reference</t>
  </si>
  <si>
    <t xml:space="preserve">Market EV to FY2027E adjusted EBITDA</t>
  </si>
  <si>
    <t xml:space="preserve">Model EV to FY2027E adjusted EBITDA</t>
  </si>
  <si>
    <t xml:space="preserve">Sensitivity of implied value per share</t>
  </si>
  <si>
    <t xml:space="preserve">Perpetuity growth method: WACC down, long term growth across. Value per share, $.</t>
  </si>
  <si>
    <t xml:space="preserve">WACC \ growth</t>
  </si>
  <si>
    <t xml:space="preserve">Exit multiple method: WACC down, exit EV to EBITDA across. Value per share, $.</t>
  </si>
  <si>
    <t xml:space="preserve">WACC \ multiple</t>
  </si>
  <si>
    <t xml:space="preserve">Scenario summary, values as built. Change Inputs!C5 to see each scenario live.</t>
  </si>
  <si>
    <t xml:space="preserve">Scenario</t>
  </si>
  <si>
    <t xml:space="preserve">FY2032E EBITDA</t>
  </si>
  <si>
    <t xml:space="preserve">$ per share, perpetuity</t>
  </si>
  <si>
    <t xml:space="preserve">$ per share, exit</t>
  </si>
  <si>
    <t xml:space="preserve">Base</t>
  </si>
  <si>
    <t xml:space="preserve">Bear</t>
  </si>
  <si>
    <t xml:space="preserve">Bull</t>
  </si>
  <si>
    <t xml:space="preserve">Market price for reference</t>
  </si>
  <si>
    <t xml:space="preserve">Street price targets, context only: consensus 78.12 from 24 analysts, range 60 to 97 [5].</t>
  </si>
  <si>
    <t xml:space="preserve">Sources</t>
  </si>
  <si>
    <t xml:space="preserve">#</t>
  </si>
  <si>
    <t xml:space="preserve">Fox Corporation Q4 and full year FY2026 earnings release, August 2026. foxcorporation.com</t>
  </si>
  <si>
    <t xml:space="preserve">Fox Corporation Q4 and full year FY2025 earnings release, August 2025. foxcorporation.com</t>
  </si>
  <si>
    <t xml:space="preserve">Fox Corporation Form 10-K for fiscal 2026, cover and Items 1 and 1A. sec.gov</t>
  </si>
  <si>
    <t xml:space="preserve">Fox Corporation Form 8-K, June 30, 2026, balance sheet items. sec.gov</t>
  </si>
  <si>
    <t xml:space="preserve">MarketBeat, FOXA quote, statistics and analyst targets, October 22, 2026.</t>
  </si>
  <si>
    <t xml:space="preserve">Fox and Roku merger announcement, June 14, 2026. Press release.</t>
  </si>
  <si>
    <t xml:space="preserve">Mortgage News Daily, 10 year Treasury yield through October 22, 2026.</t>
  </si>
  <si>
    <t xml:space="preserve">Fox Corporation dividend declaration, August 2026.</t>
  </si>
  <si>
    <t xml:space="preserve">Fox One and Tubi press coverage, 2026.</t>
  </si>
  <si>
    <t xml:space="preserve">Analyst inputs with no source are labelled as such on the Inputs and WACC sheets. Nothing in this workbook comes from a Bloomberg Terminal or from any employer.</t>
  </si>
</sst>
</file>

<file path=xl/styles.xml><?xml version="1.0" encoding="utf-8"?>
<styleSheet xmlns="http://schemas.openxmlformats.org/spreadsheetml/2006/main">
  <numFmts count="7">
    <numFmt numFmtId="164" formatCode="General"/>
    <numFmt numFmtId="165" formatCode="#,##0;\(#,##0\);\-"/>
    <numFmt numFmtId="166" formatCode="0.0%;\(0.0%\);\-"/>
    <numFmt numFmtId="167" formatCode="\$#,##0.00;&quot;($&quot;#,##0.00\);\-"/>
    <numFmt numFmtId="168" formatCode="0.0\x"/>
    <numFmt numFmtId="169" formatCode="0.00"/>
    <numFmt numFmtId="170" formatCode="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name val="Arial"/>
      <family val="0"/>
      <charset val="1"/>
    </font>
    <font>
      <sz val="10"/>
      <color rgb="FF0000FF"/>
      <name val="Arial"/>
      <family val="0"/>
      <charset val="1"/>
    </font>
    <font>
      <b val="true"/>
      <sz val="11"/>
      <color rgb="FFFFFFFF"/>
      <name val="Arial"/>
      <family val="0"/>
      <charset val="1"/>
    </font>
    <font>
      <sz val="9"/>
      <color rgb="FF595959"/>
      <name val="Arial"/>
      <family val="0"/>
      <charset val="1"/>
    </font>
    <font>
      <sz val="10"/>
      <color rgb="FF008000"/>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0A1628"/>
        <bgColor rgb="FF000000"/>
      </patternFill>
    </fill>
    <fill>
      <patternFill patternType="solid">
        <fgColor rgb="FFF2F2F2"/>
        <bgColor rgb="FFFFFFFF"/>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left"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7" fontId="6" fillId="2" borderId="1" xfId="0" applyFont="true" applyBorder="tru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A1628"/>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28.35" hidden="false" customHeight="false" outlineLevel="0" collapsed="false">
      <c r="A4" s="3" t="s">
        <v>2</v>
      </c>
    </row>
    <row r="5" customFormat="false" ht="28.3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8" min="2" style="0" width="12"/>
    <col collapsed="false" customWidth="true" hidden="false" outlineLevel="0" max="9" min="9" style="0" width="60"/>
  </cols>
  <sheetData>
    <row r="1" customFormat="false" ht="17.35" hidden="false" customHeight="false" outlineLevel="0" collapsed="false">
      <c r="A1" s="1" t="s">
        <v>7</v>
      </c>
    </row>
    <row r="2" customFormat="false" ht="15" hidden="false" customHeight="false" outlineLevel="0" collapsed="false">
      <c r="A2" s="2" t="s">
        <v>1</v>
      </c>
    </row>
    <row r="4" customFormat="false" ht="15" hidden="false" customHeight="false" outlineLevel="0" collapsed="false">
      <c r="A4" s="4" t="s">
        <v>8</v>
      </c>
    </row>
    <row r="5" customFormat="false" ht="15" hidden="false" customHeight="false" outlineLevel="0" collapsed="false">
      <c r="A5" s="5" t="s">
        <v>9</v>
      </c>
      <c r="C5" s="6" t="n">
        <v>1</v>
      </c>
    </row>
    <row r="6" customFormat="false" ht="15" hidden="false" customHeight="false" outlineLevel="0" collapsed="false">
      <c r="A6" s="5" t="s">
        <v>10</v>
      </c>
      <c r="C6" s="5" t="str">
        <f aca="false">CHOOSE(C5,"Base","Bear","Bull")</f>
        <v>Base</v>
      </c>
    </row>
    <row r="8" customFormat="false" ht="15" hidden="false" customHeight="false" outlineLevel="0" collapsed="false">
      <c r="A8" s="7" t="s">
        <v>11</v>
      </c>
      <c r="B8" s="8" t="s">
        <v>12</v>
      </c>
      <c r="C8" s="8"/>
      <c r="D8" s="8"/>
      <c r="E8" s="8"/>
      <c r="F8" s="8"/>
      <c r="G8" s="8"/>
      <c r="H8" s="8"/>
      <c r="I8" s="8" t="s">
        <v>13</v>
      </c>
    </row>
    <row r="9" customFormat="false" ht="15" hidden="false" customHeight="false" outlineLevel="0" collapsed="false">
      <c r="A9" s="5" t="s">
        <v>14</v>
      </c>
      <c r="B9" s="9" t="n">
        <v>17126</v>
      </c>
      <c r="I9" s="10" t="s">
        <v>15</v>
      </c>
    </row>
    <row r="10" customFormat="false" ht="15" hidden="false" customHeight="false" outlineLevel="0" collapsed="false">
      <c r="A10" s="5" t="s">
        <v>16</v>
      </c>
      <c r="B10" s="9" t="n">
        <v>3906</v>
      </c>
      <c r="I10" s="10" t="s">
        <v>17</v>
      </c>
    </row>
    <row r="11" customFormat="false" ht="15" hidden="false" customHeight="false" outlineLevel="0" collapsed="false">
      <c r="A11" s="5" t="s">
        <v>18</v>
      </c>
      <c r="B11" s="9" t="n">
        <v>410</v>
      </c>
      <c r="I11" s="10" t="s">
        <v>17</v>
      </c>
    </row>
    <row r="12" customFormat="false" ht="15" hidden="false" customHeight="false" outlineLevel="0" collapsed="false">
      <c r="A12" s="5" t="s">
        <v>19</v>
      </c>
      <c r="B12" s="9" t="n">
        <v>132</v>
      </c>
      <c r="I12" s="10" t="s">
        <v>17</v>
      </c>
    </row>
    <row r="13" customFormat="false" ht="15" hidden="false" customHeight="false" outlineLevel="0" collapsed="false">
      <c r="A13" s="5" t="s">
        <v>20</v>
      </c>
      <c r="B13" s="9" t="n">
        <v>502</v>
      </c>
      <c r="I13" s="10" t="s">
        <v>17</v>
      </c>
    </row>
    <row r="14" customFormat="false" ht="15" hidden="false" customHeight="false" outlineLevel="0" collapsed="false">
      <c r="A14" s="5" t="s">
        <v>21</v>
      </c>
      <c r="B14" s="9" t="n">
        <v>1468</v>
      </c>
      <c r="I14" s="10" t="s">
        <v>22</v>
      </c>
    </row>
    <row r="16" customFormat="false" ht="15" hidden="false" customHeight="false" outlineLevel="0" collapsed="false">
      <c r="A16" s="7" t="s">
        <v>23</v>
      </c>
      <c r="B16" s="8" t="s">
        <v>12</v>
      </c>
      <c r="C16" s="8"/>
      <c r="D16" s="8"/>
      <c r="E16" s="8"/>
      <c r="F16" s="8"/>
      <c r="G16" s="8"/>
      <c r="H16" s="8"/>
      <c r="I16" s="8" t="s">
        <v>13</v>
      </c>
    </row>
    <row r="17" customFormat="false" ht="15" hidden="false" customHeight="false" outlineLevel="0" collapsed="false">
      <c r="A17" s="5" t="s">
        <v>24</v>
      </c>
      <c r="B17" s="9" t="n">
        <v>7500</v>
      </c>
      <c r="I17" s="10" t="s">
        <v>25</v>
      </c>
    </row>
    <row r="18" customFormat="false" ht="15" hidden="false" customHeight="false" outlineLevel="0" collapsed="false">
      <c r="A18" s="5" t="s">
        <v>26</v>
      </c>
      <c r="B18" s="9" t="n">
        <v>9900</v>
      </c>
      <c r="I18" s="10" t="s">
        <v>27</v>
      </c>
    </row>
    <row r="19" customFormat="false" ht="15" hidden="false" customHeight="false" outlineLevel="0" collapsed="false">
      <c r="A19" s="5" t="s">
        <v>28</v>
      </c>
      <c r="B19" s="9" t="n">
        <v>400</v>
      </c>
      <c r="I19" s="10" t="s">
        <v>29</v>
      </c>
    </row>
    <row r="20" customFormat="false" ht="15" hidden="false" customHeight="false" outlineLevel="0" collapsed="false">
      <c r="A20" s="5" t="s">
        <v>30</v>
      </c>
      <c r="B20" s="11" t="n">
        <f aca="false">SUM(B17:B19)</f>
        <v>17800</v>
      </c>
      <c r="I20" s="10" t="s">
        <v>31</v>
      </c>
    </row>
    <row r="22" customFormat="false" ht="15" hidden="false" customHeight="false" outlineLevel="0" collapsed="false">
      <c r="A22" s="7" t="s">
        <v>32</v>
      </c>
      <c r="B22" s="8" t="s">
        <v>33</v>
      </c>
      <c r="C22" s="8" t="s">
        <v>34</v>
      </c>
      <c r="D22" s="8" t="s">
        <v>35</v>
      </c>
      <c r="E22" s="8" t="s">
        <v>36</v>
      </c>
      <c r="F22" s="8" t="s">
        <v>37</v>
      </c>
      <c r="G22" s="8" t="s">
        <v>38</v>
      </c>
      <c r="H22" s="8"/>
      <c r="I22" s="8"/>
      <c r="J22" s="8" t="s">
        <v>39</v>
      </c>
    </row>
    <row r="23" customFormat="false" ht="15" hidden="false" customHeight="false" outlineLevel="0" collapsed="false">
      <c r="A23" s="5" t="s">
        <v>40</v>
      </c>
      <c r="B23" s="12" t="n">
        <v>0.02</v>
      </c>
      <c r="C23" s="12" t="n">
        <v>-0.02</v>
      </c>
      <c r="D23" s="12" t="n">
        <v>0</v>
      </c>
      <c r="E23" s="12" t="n">
        <v>-0.02</v>
      </c>
      <c r="F23" s="12" t="n">
        <v>0</v>
      </c>
      <c r="G23" s="12" t="n">
        <v>-0.02</v>
      </c>
      <c r="I23" s="10" t="s">
        <v>41</v>
      </c>
    </row>
    <row r="24" customFormat="false" ht="15" hidden="false" customHeight="false" outlineLevel="0" collapsed="false">
      <c r="A24" s="5" t="s">
        <v>42</v>
      </c>
      <c r="B24" s="12" t="n">
        <v>-0.02</v>
      </c>
      <c r="C24" s="12" t="n">
        <v>-0.05</v>
      </c>
      <c r="D24" s="12" t="n">
        <v>-0.04</v>
      </c>
      <c r="E24" s="12" t="n">
        <v>-0.05</v>
      </c>
      <c r="F24" s="12" t="n">
        <v>-0.04</v>
      </c>
      <c r="G24" s="12" t="n">
        <v>-0.05</v>
      </c>
    </row>
    <row r="25" customFormat="false" ht="15" hidden="false" customHeight="false" outlineLevel="0" collapsed="false">
      <c r="A25" s="5" t="s">
        <v>43</v>
      </c>
      <c r="B25" s="12" t="n">
        <v>0.04</v>
      </c>
      <c r="C25" s="12" t="n">
        <v>0.01</v>
      </c>
      <c r="D25" s="12" t="n">
        <v>0.02</v>
      </c>
      <c r="E25" s="12" t="n">
        <v>0.01</v>
      </c>
      <c r="F25" s="12" t="n">
        <v>0.02</v>
      </c>
      <c r="G25" s="12" t="n">
        <v>0.01</v>
      </c>
    </row>
    <row r="26" customFormat="false" ht="15" hidden="false" customHeight="false" outlineLevel="0" collapsed="false">
      <c r="A26" s="4" t="s">
        <v>44</v>
      </c>
      <c r="B26" s="13" t="n">
        <f aca="false">CHOOSE($C$5,B23,B24,B25)</f>
        <v>0.02</v>
      </c>
      <c r="C26" s="13" t="n">
        <f aca="false">CHOOSE($C$5,C23,C24,C25)</f>
        <v>-0.02</v>
      </c>
      <c r="D26" s="13" t="n">
        <f aca="false">CHOOSE($C$5,D23,D24,D25)</f>
        <v>0</v>
      </c>
      <c r="E26" s="13" t="n">
        <f aca="false">CHOOSE($C$5,E23,E24,E25)</f>
        <v>-0.02</v>
      </c>
      <c r="F26" s="13" t="n">
        <f aca="false">CHOOSE($C$5,F23,F24,F25)</f>
        <v>0</v>
      </c>
      <c r="G26" s="13" t="n">
        <f aca="false">CHOOSE($C$5,G23,G24,G25)</f>
        <v>-0.02</v>
      </c>
    </row>
    <row r="28" customFormat="false" ht="15" hidden="false" customHeight="false" outlineLevel="0" collapsed="false">
      <c r="A28" s="5" t="s">
        <v>45</v>
      </c>
      <c r="B28" s="12" t="n">
        <v>0.02</v>
      </c>
      <c r="C28" s="12" t="n">
        <v>-0.01</v>
      </c>
      <c r="D28" s="12" t="n">
        <v>0.03</v>
      </c>
      <c r="E28" s="12" t="n">
        <v>-0.01</v>
      </c>
      <c r="F28" s="12" t="n">
        <v>0.03</v>
      </c>
      <c r="G28" s="12" t="n">
        <v>-0.01</v>
      </c>
      <c r="I28" s="10" t="s">
        <v>46</v>
      </c>
    </row>
    <row r="29" customFormat="false" ht="15" hidden="false" customHeight="false" outlineLevel="0" collapsed="false">
      <c r="A29" s="5" t="s">
        <v>47</v>
      </c>
      <c r="B29" s="12" t="n">
        <v>-0.01</v>
      </c>
      <c r="C29" s="12" t="n">
        <v>-0.04</v>
      </c>
      <c r="D29" s="12" t="n">
        <v>0</v>
      </c>
      <c r="E29" s="12" t="n">
        <v>-0.04</v>
      </c>
      <c r="F29" s="12" t="n">
        <v>0</v>
      </c>
      <c r="G29" s="12" t="n">
        <v>-0.04</v>
      </c>
    </row>
    <row r="30" customFormat="false" ht="15" hidden="false" customHeight="false" outlineLevel="0" collapsed="false">
      <c r="A30" s="5" t="s">
        <v>48</v>
      </c>
      <c r="B30" s="12" t="n">
        <v>0.04</v>
      </c>
      <c r="C30" s="12" t="n">
        <v>0.01</v>
      </c>
      <c r="D30" s="12" t="n">
        <v>0.05</v>
      </c>
      <c r="E30" s="12" t="n">
        <v>0.01</v>
      </c>
      <c r="F30" s="12" t="n">
        <v>0.05</v>
      </c>
      <c r="G30" s="12" t="n">
        <v>0.01</v>
      </c>
    </row>
    <row r="31" customFormat="false" ht="15" hidden="false" customHeight="false" outlineLevel="0" collapsed="false">
      <c r="A31" s="4" t="s">
        <v>49</v>
      </c>
      <c r="B31" s="13" t="n">
        <f aca="false">CHOOSE($C$5,B28,B29,B30)</f>
        <v>0.02</v>
      </c>
      <c r="C31" s="13" t="n">
        <f aca="false">CHOOSE($C$5,C28,C29,C30)</f>
        <v>-0.01</v>
      </c>
      <c r="D31" s="13" t="n">
        <f aca="false">CHOOSE($C$5,D28,D29,D30)</f>
        <v>0.03</v>
      </c>
      <c r="E31" s="13" t="n">
        <f aca="false">CHOOSE($C$5,E28,E29,E30)</f>
        <v>-0.01</v>
      </c>
      <c r="F31" s="13" t="n">
        <f aca="false">CHOOSE($C$5,F28,F29,F30)</f>
        <v>0.03</v>
      </c>
      <c r="G31" s="13" t="n">
        <f aca="false">CHOOSE($C$5,G28,G29,G30)</f>
        <v>-0.01</v>
      </c>
    </row>
    <row r="33" customFormat="false" ht="15" hidden="false" customHeight="false" outlineLevel="0" collapsed="false">
      <c r="A33" s="5" t="s">
        <v>50</v>
      </c>
      <c r="B33" s="12" t="n">
        <v>0</v>
      </c>
      <c r="C33" s="12" t="n">
        <v>0</v>
      </c>
      <c r="D33" s="12" t="n">
        <v>0</v>
      </c>
      <c r="E33" s="12" t="n">
        <v>0</v>
      </c>
      <c r="F33" s="12" t="n">
        <v>0</v>
      </c>
      <c r="G33" s="12" t="n">
        <v>0</v>
      </c>
      <c r="I33" s="10" t="s">
        <v>51</v>
      </c>
    </row>
    <row r="34" customFormat="false" ht="15" hidden="false" customHeight="false" outlineLevel="0" collapsed="false">
      <c r="A34" s="5" t="s">
        <v>52</v>
      </c>
      <c r="B34" s="12" t="n">
        <v>-0.02</v>
      </c>
      <c r="C34" s="12" t="n">
        <v>-0.02</v>
      </c>
      <c r="D34" s="12" t="n">
        <v>-0.02</v>
      </c>
      <c r="E34" s="12" t="n">
        <v>-0.02</v>
      </c>
      <c r="F34" s="12" t="n">
        <v>-0.02</v>
      </c>
      <c r="G34" s="12" t="n">
        <v>-0.02</v>
      </c>
    </row>
    <row r="35" customFormat="false" ht="15" hidden="false" customHeight="false" outlineLevel="0" collapsed="false">
      <c r="A35" s="5" t="s">
        <v>53</v>
      </c>
      <c r="B35" s="12" t="n">
        <v>0.02</v>
      </c>
      <c r="C35" s="12" t="n">
        <v>0.02</v>
      </c>
      <c r="D35" s="12" t="n">
        <v>0.02</v>
      </c>
      <c r="E35" s="12" t="n">
        <v>0.02</v>
      </c>
      <c r="F35" s="12" t="n">
        <v>0.02</v>
      </c>
      <c r="G35" s="12" t="n">
        <v>0.02</v>
      </c>
    </row>
    <row r="36" customFormat="false" ht="15" hidden="false" customHeight="false" outlineLevel="0" collapsed="false">
      <c r="A36" s="4" t="s">
        <v>54</v>
      </c>
      <c r="B36" s="13" t="n">
        <f aca="false">CHOOSE($C$5,B33,B34,B35)</f>
        <v>0</v>
      </c>
      <c r="C36" s="13" t="n">
        <f aca="false">CHOOSE($C$5,C33,C34,C35)</f>
        <v>0</v>
      </c>
      <c r="D36" s="13" t="n">
        <f aca="false">CHOOSE($C$5,D33,D34,D35)</f>
        <v>0</v>
      </c>
      <c r="E36" s="13" t="n">
        <f aca="false">CHOOSE($C$5,E33,E34,E35)</f>
        <v>0</v>
      </c>
      <c r="F36" s="13" t="n">
        <f aca="false">CHOOSE($C$5,F33,F34,F35)</f>
        <v>0</v>
      </c>
      <c r="G36" s="13" t="n">
        <f aca="false">CHOOSE($C$5,G33,G34,G35)</f>
        <v>0</v>
      </c>
    </row>
    <row r="38" customFormat="false" ht="15" hidden="false" customHeight="false" outlineLevel="0" collapsed="false">
      <c r="A38" s="5" t="s">
        <v>55</v>
      </c>
      <c r="B38" s="12" t="n">
        <v>0.22</v>
      </c>
      <c r="C38" s="12" t="n">
        <v>0.215</v>
      </c>
      <c r="D38" s="12" t="n">
        <v>0.212</v>
      </c>
      <c r="E38" s="12" t="n">
        <v>0.208</v>
      </c>
      <c r="F38" s="12" t="n">
        <v>0.205</v>
      </c>
      <c r="G38" s="12" t="n">
        <v>0.2</v>
      </c>
      <c r="I38" s="10" t="s">
        <v>56</v>
      </c>
    </row>
    <row r="39" customFormat="false" ht="15" hidden="false" customHeight="false" outlineLevel="0" collapsed="false">
      <c r="A39" s="5" t="s">
        <v>57</v>
      </c>
      <c r="B39" s="12" t="n">
        <v>0.21</v>
      </c>
      <c r="C39" s="12" t="n">
        <v>0.2</v>
      </c>
      <c r="D39" s="12" t="n">
        <v>0.19</v>
      </c>
      <c r="E39" s="12" t="n">
        <v>0.182</v>
      </c>
      <c r="F39" s="12" t="n">
        <v>0.175</v>
      </c>
      <c r="G39" s="12" t="n">
        <v>0.17</v>
      </c>
    </row>
    <row r="40" customFormat="false" ht="15" hidden="false" customHeight="false" outlineLevel="0" collapsed="false">
      <c r="A40" s="5" t="s">
        <v>58</v>
      </c>
      <c r="B40" s="12" t="n">
        <v>0.228</v>
      </c>
      <c r="C40" s="12" t="n">
        <v>0.228</v>
      </c>
      <c r="D40" s="12" t="n">
        <v>0.228</v>
      </c>
      <c r="E40" s="12" t="n">
        <v>0.228</v>
      </c>
      <c r="F40" s="12" t="n">
        <v>0.228</v>
      </c>
      <c r="G40" s="12" t="n">
        <v>0.228</v>
      </c>
    </row>
    <row r="41" customFormat="false" ht="15" hidden="false" customHeight="false" outlineLevel="0" collapsed="false">
      <c r="A41" s="4" t="s">
        <v>59</v>
      </c>
      <c r="B41" s="13" t="n">
        <f aca="false">CHOOSE($C$5,B38,B39,B40)</f>
        <v>0.22</v>
      </c>
      <c r="C41" s="13" t="n">
        <f aca="false">CHOOSE($C$5,C38,C39,C40)</f>
        <v>0.215</v>
      </c>
      <c r="D41" s="13" t="n">
        <f aca="false">CHOOSE($C$5,D38,D39,D40)</f>
        <v>0.212</v>
      </c>
      <c r="E41" s="13" t="n">
        <f aca="false">CHOOSE($C$5,E38,E39,E40)</f>
        <v>0.208</v>
      </c>
      <c r="F41" s="13" t="n">
        <f aca="false">CHOOSE($C$5,F38,F39,F40)</f>
        <v>0.205</v>
      </c>
      <c r="G41" s="13" t="n">
        <f aca="false">CHOOSE($C$5,G38,G39,G40)</f>
        <v>0.2</v>
      </c>
    </row>
    <row r="43" customFormat="false" ht="15" hidden="false" customHeight="false" outlineLevel="0" collapsed="false">
      <c r="A43" s="5" t="s">
        <v>60</v>
      </c>
      <c r="B43" s="9" t="n">
        <v>0</v>
      </c>
      <c r="C43" s="9" t="n">
        <v>0</v>
      </c>
      <c r="D43" s="9" t="n">
        <v>0</v>
      </c>
      <c r="E43" s="9" t="n">
        <v>0</v>
      </c>
      <c r="F43" s="9" t="n">
        <v>0</v>
      </c>
      <c r="G43" s="9" t="n">
        <v>0</v>
      </c>
      <c r="I43" s="10" t="s">
        <v>61</v>
      </c>
    </row>
    <row r="44" customFormat="false" ht="15" hidden="false" customHeight="false" outlineLevel="0" collapsed="false">
      <c r="A44" s="5" t="s">
        <v>62</v>
      </c>
      <c r="B44" s="9" t="n">
        <v>0</v>
      </c>
      <c r="C44" s="9" t="n">
        <v>0</v>
      </c>
      <c r="D44" s="9" t="n">
        <v>0</v>
      </c>
      <c r="E44" s="9" t="n">
        <v>0</v>
      </c>
      <c r="F44" s="9" t="n">
        <v>0</v>
      </c>
      <c r="G44" s="9" t="n">
        <v>0</v>
      </c>
    </row>
    <row r="45" customFormat="false" ht="15" hidden="false" customHeight="false" outlineLevel="0" collapsed="false">
      <c r="A45" s="5" t="s">
        <v>63</v>
      </c>
      <c r="B45" s="9" t="n">
        <v>0</v>
      </c>
      <c r="C45" s="9" t="n">
        <v>0</v>
      </c>
      <c r="D45" s="9" t="n">
        <v>0</v>
      </c>
      <c r="E45" s="9" t="n">
        <v>0</v>
      </c>
      <c r="F45" s="9" t="n">
        <v>0</v>
      </c>
      <c r="G45" s="9" t="n">
        <v>0</v>
      </c>
    </row>
    <row r="46" customFormat="false" ht="15" hidden="false" customHeight="false" outlineLevel="0" collapsed="false">
      <c r="A46" s="4" t="s">
        <v>64</v>
      </c>
      <c r="B46" s="14" t="n">
        <f aca="false">CHOOSE($C$5,B43,B44,B45)</f>
        <v>0</v>
      </c>
      <c r="C46" s="14" t="n">
        <f aca="false">CHOOSE($C$5,C43,C44,C45)</f>
        <v>0</v>
      </c>
      <c r="D46" s="14" t="n">
        <f aca="false">CHOOSE($C$5,D43,D44,D45)</f>
        <v>0</v>
      </c>
      <c r="E46" s="14" t="n">
        <f aca="false">CHOOSE($C$5,E43,E44,E45)</f>
        <v>0</v>
      </c>
      <c r="F46" s="14" t="n">
        <f aca="false">CHOOSE($C$5,F43,F44,F45)</f>
        <v>0</v>
      </c>
      <c r="G46" s="14" t="n">
        <f aca="false">CHOOSE($C$5,G43,G44,G45)</f>
        <v>0</v>
      </c>
    </row>
    <row r="48" customFormat="false" ht="15" hidden="false" customHeight="false" outlineLevel="0" collapsed="false">
      <c r="A48" s="5" t="s">
        <v>65</v>
      </c>
      <c r="B48" s="9" t="n">
        <v>140</v>
      </c>
      <c r="C48" s="9" t="n">
        <v>140</v>
      </c>
      <c r="D48" s="9" t="n">
        <v>140</v>
      </c>
      <c r="E48" s="9" t="n">
        <v>140</v>
      </c>
      <c r="F48" s="9" t="n">
        <v>140</v>
      </c>
      <c r="G48" s="9" t="n">
        <v>140</v>
      </c>
      <c r="I48" s="10" t="s">
        <v>66</v>
      </c>
    </row>
    <row r="49" customFormat="false" ht="15" hidden="false" customHeight="false" outlineLevel="0" collapsed="false">
      <c r="A49" s="5" t="s">
        <v>67</v>
      </c>
      <c r="B49" s="9" t="n">
        <v>140</v>
      </c>
      <c r="C49" s="9" t="n">
        <v>140</v>
      </c>
      <c r="D49" s="9" t="n">
        <v>140</v>
      </c>
      <c r="E49" s="9" t="n">
        <v>140</v>
      </c>
      <c r="F49" s="9" t="n">
        <v>140</v>
      </c>
      <c r="G49" s="9" t="n">
        <v>140</v>
      </c>
    </row>
    <row r="50" customFormat="false" ht="15" hidden="false" customHeight="false" outlineLevel="0" collapsed="false">
      <c r="A50" s="5" t="s">
        <v>68</v>
      </c>
      <c r="B50" s="9" t="n">
        <v>140</v>
      </c>
      <c r="C50" s="9" t="n">
        <v>140</v>
      </c>
      <c r="D50" s="9" t="n">
        <v>140</v>
      </c>
      <c r="E50" s="9" t="n">
        <v>140</v>
      </c>
      <c r="F50" s="9" t="n">
        <v>140</v>
      </c>
      <c r="G50" s="9" t="n">
        <v>140</v>
      </c>
    </row>
    <row r="51" customFormat="false" ht="15" hidden="false" customHeight="false" outlineLevel="0" collapsed="false">
      <c r="A51" s="4" t="s">
        <v>69</v>
      </c>
      <c r="B51" s="14" t="n">
        <f aca="false">CHOOSE($C$5,B48,B49,B50)</f>
        <v>140</v>
      </c>
      <c r="C51" s="14" t="n">
        <f aca="false">CHOOSE($C$5,C48,C49,C50)</f>
        <v>140</v>
      </c>
      <c r="D51" s="14" t="n">
        <f aca="false">CHOOSE($C$5,D48,D49,D50)</f>
        <v>140</v>
      </c>
      <c r="E51" s="14" t="n">
        <f aca="false">CHOOSE($C$5,E48,E49,E50)</f>
        <v>140</v>
      </c>
      <c r="F51" s="14" t="n">
        <f aca="false">CHOOSE($C$5,F48,F49,F50)</f>
        <v>140</v>
      </c>
      <c r="G51" s="14" t="n">
        <f aca="false">CHOOSE($C$5,G48,G49,G50)</f>
        <v>140</v>
      </c>
    </row>
    <row r="53" customFormat="false" ht="15" hidden="false" customHeight="false" outlineLevel="0" collapsed="false">
      <c r="A53" s="5" t="s">
        <v>70</v>
      </c>
      <c r="B53" s="9" t="n">
        <v>0</v>
      </c>
      <c r="C53" s="9" t="n">
        <v>0</v>
      </c>
      <c r="D53" s="9" t="n">
        <v>0</v>
      </c>
      <c r="E53" s="9" t="n">
        <v>0</v>
      </c>
      <c r="F53" s="9" t="n">
        <v>0</v>
      </c>
      <c r="G53" s="9" t="n">
        <v>0</v>
      </c>
      <c r="I53" s="10" t="s">
        <v>71</v>
      </c>
    </row>
    <row r="54" customFormat="false" ht="15" hidden="false" customHeight="false" outlineLevel="0" collapsed="false">
      <c r="A54" s="5" t="s">
        <v>72</v>
      </c>
      <c r="B54" s="9" t="n">
        <v>0</v>
      </c>
      <c r="C54" s="9" t="n">
        <v>0</v>
      </c>
      <c r="D54" s="9" t="n">
        <v>0</v>
      </c>
      <c r="E54" s="9" t="n">
        <v>0</v>
      </c>
      <c r="F54" s="9" t="n">
        <v>0</v>
      </c>
      <c r="G54" s="9" t="n">
        <v>0</v>
      </c>
    </row>
    <row r="55" customFormat="false" ht="15" hidden="false" customHeight="false" outlineLevel="0" collapsed="false">
      <c r="A55" s="5" t="s">
        <v>73</v>
      </c>
      <c r="B55" s="9" t="n">
        <v>0</v>
      </c>
      <c r="C55" s="9" t="n">
        <v>0</v>
      </c>
      <c r="D55" s="9" t="n">
        <v>0</v>
      </c>
      <c r="E55" s="9" t="n">
        <v>0</v>
      </c>
      <c r="F55" s="9" t="n">
        <v>0</v>
      </c>
      <c r="G55" s="9" t="n">
        <v>0</v>
      </c>
    </row>
    <row r="56" customFormat="false" ht="15" hidden="false" customHeight="false" outlineLevel="0" collapsed="false">
      <c r="A56" s="4" t="s">
        <v>74</v>
      </c>
      <c r="B56" s="14" t="n">
        <f aca="false">CHOOSE($C$5,B53,B54,B55)</f>
        <v>0</v>
      </c>
      <c r="C56" s="14" t="n">
        <f aca="false">CHOOSE($C$5,C53,C54,C55)</f>
        <v>0</v>
      </c>
      <c r="D56" s="14" t="n">
        <f aca="false">CHOOSE($C$5,D53,D54,D55)</f>
        <v>0</v>
      </c>
      <c r="E56" s="14" t="n">
        <f aca="false">CHOOSE($C$5,E53,E54,E55)</f>
        <v>0</v>
      </c>
      <c r="F56" s="14" t="n">
        <f aca="false">CHOOSE($C$5,F53,F54,F55)</f>
        <v>0</v>
      </c>
      <c r="G56" s="14" t="n">
        <f aca="false">CHOOSE($C$5,G53,G54,G55)</f>
        <v>0</v>
      </c>
    </row>
    <row r="58" customFormat="false" ht="15" hidden="false" customHeight="false" outlineLevel="0" collapsed="false">
      <c r="A58" s="5" t="s">
        <v>75</v>
      </c>
      <c r="B58" s="12" t="n">
        <v>0.025</v>
      </c>
      <c r="C58" s="12" t="n">
        <v>0.025</v>
      </c>
      <c r="D58" s="12" t="n">
        <v>0.025</v>
      </c>
      <c r="E58" s="12" t="n">
        <v>0.025</v>
      </c>
      <c r="F58" s="12" t="n">
        <v>0.025</v>
      </c>
      <c r="G58" s="12" t="n">
        <v>0.025</v>
      </c>
      <c r="I58" s="10" t="s">
        <v>76</v>
      </c>
    </row>
    <row r="59" customFormat="false" ht="15" hidden="false" customHeight="false" outlineLevel="0" collapsed="false">
      <c r="A59" s="5" t="s">
        <v>77</v>
      </c>
      <c r="B59" s="12" t="n">
        <v>0.028</v>
      </c>
      <c r="C59" s="12" t="n">
        <v>0.028</v>
      </c>
      <c r="D59" s="12" t="n">
        <v>0.028</v>
      </c>
      <c r="E59" s="12" t="n">
        <v>0.028</v>
      </c>
      <c r="F59" s="12" t="n">
        <v>0.028</v>
      </c>
      <c r="G59" s="12" t="n">
        <v>0.028</v>
      </c>
    </row>
    <row r="60" customFormat="false" ht="15" hidden="false" customHeight="false" outlineLevel="0" collapsed="false">
      <c r="A60" s="5" t="s">
        <v>78</v>
      </c>
      <c r="B60" s="12" t="n">
        <v>0.022</v>
      </c>
      <c r="C60" s="12" t="n">
        <v>0.022</v>
      </c>
      <c r="D60" s="12" t="n">
        <v>0.022</v>
      </c>
      <c r="E60" s="12" t="n">
        <v>0.022</v>
      </c>
      <c r="F60" s="12" t="n">
        <v>0.022</v>
      </c>
      <c r="G60" s="12" t="n">
        <v>0.022</v>
      </c>
    </row>
    <row r="61" customFormat="false" ht="15" hidden="false" customHeight="false" outlineLevel="0" collapsed="false">
      <c r="A61" s="4" t="s">
        <v>79</v>
      </c>
      <c r="B61" s="13" t="n">
        <f aca="false">CHOOSE($C$5,B58,B59,B60)</f>
        <v>0.025</v>
      </c>
      <c r="C61" s="13" t="n">
        <f aca="false">CHOOSE($C$5,C58,C59,C60)</f>
        <v>0.025</v>
      </c>
      <c r="D61" s="13" t="n">
        <f aca="false">CHOOSE($C$5,D58,D59,D60)</f>
        <v>0.025</v>
      </c>
      <c r="E61" s="13" t="n">
        <f aca="false">CHOOSE($C$5,E58,E59,E60)</f>
        <v>0.025</v>
      </c>
      <c r="F61" s="13" t="n">
        <f aca="false">CHOOSE($C$5,F58,F59,F60)</f>
        <v>0.025</v>
      </c>
      <c r="G61" s="13" t="n">
        <f aca="false">CHOOSE($C$5,G58,G59,G60)</f>
        <v>0.025</v>
      </c>
    </row>
    <row r="63" customFormat="false" ht="15" hidden="false" customHeight="false" outlineLevel="0" collapsed="false">
      <c r="A63" s="5" t="s">
        <v>80</v>
      </c>
      <c r="B63" s="12" t="n">
        <v>0.005</v>
      </c>
      <c r="C63" s="12" t="n">
        <v>0.005</v>
      </c>
      <c r="D63" s="12" t="n">
        <v>0.005</v>
      </c>
      <c r="E63" s="12" t="n">
        <v>0.005</v>
      </c>
      <c r="F63" s="12" t="n">
        <v>0.005</v>
      </c>
      <c r="G63" s="12" t="n">
        <v>0.005</v>
      </c>
      <c r="I63" s="10" t="s">
        <v>81</v>
      </c>
    </row>
    <row r="64" customFormat="false" ht="15" hidden="false" customHeight="false" outlineLevel="0" collapsed="false">
      <c r="A64" s="5" t="s">
        <v>82</v>
      </c>
      <c r="B64" s="12" t="n">
        <v>0.01</v>
      </c>
      <c r="C64" s="12" t="n">
        <v>0.01</v>
      </c>
      <c r="D64" s="12" t="n">
        <v>0.01</v>
      </c>
      <c r="E64" s="12" t="n">
        <v>0.01</v>
      </c>
      <c r="F64" s="12" t="n">
        <v>0.01</v>
      </c>
      <c r="G64" s="12" t="n">
        <v>0.01</v>
      </c>
    </row>
    <row r="65" customFormat="false" ht="15" hidden="false" customHeight="false" outlineLevel="0" collapsed="false">
      <c r="A65" s="5" t="s">
        <v>83</v>
      </c>
      <c r="B65" s="12" t="n">
        <v>0.003</v>
      </c>
      <c r="C65" s="12" t="n">
        <v>0.003</v>
      </c>
      <c r="D65" s="12" t="n">
        <v>0.003</v>
      </c>
      <c r="E65" s="12" t="n">
        <v>0.003</v>
      </c>
      <c r="F65" s="12" t="n">
        <v>0.003</v>
      </c>
      <c r="G65" s="12" t="n">
        <v>0.003</v>
      </c>
    </row>
    <row r="66" customFormat="false" ht="15" hidden="false" customHeight="false" outlineLevel="0" collapsed="false">
      <c r="A66" s="4" t="s">
        <v>84</v>
      </c>
      <c r="B66" s="13" t="n">
        <f aca="false">CHOOSE($C$5,B63,B64,B65)</f>
        <v>0.005</v>
      </c>
      <c r="C66" s="13" t="n">
        <f aca="false">CHOOSE($C$5,C63,C64,C65)</f>
        <v>0.005</v>
      </c>
      <c r="D66" s="13" t="n">
        <f aca="false">CHOOSE($C$5,D63,D64,D65)</f>
        <v>0.005</v>
      </c>
      <c r="E66" s="13" t="n">
        <f aca="false">CHOOSE($C$5,E63,E64,E65)</f>
        <v>0.005</v>
      </c>
      <c r="F66" s="13" t="n">
        <f aca="false">CHOOSE($C$5,F63,F64,F65)</f>
        <v>0.005</v>
      </c>
      <c r="G66" s="13" t="n">
        <f aca="false">CHOOSE($C$5,G63,G64,G65)</f>
        <v>0.005</v>
      </c>
    </row>
    <row r="68" customFormat="false" ht="15" hidden="false" customHeight="false" outlineLevel="0" collapsed="false">
      <c r="A68" s="5" t="s">
        <v>85</v>
      </c>
      <c r="B68" s="9" t="n">
        <v>420</v>
      </c>
      <c r="C68" s="9" t="n">
        <v>420</v>
      </c>
      <c r="D68" s="9" t="n">
        <v>420</v>
      </c>
      <c r="E68" s="9" t="n">
        <v>420</v>
      </c>
      <c r="F68" s="9" t="n">
        <v>420</v>
      </c>
      <c r="G68" s="9" t="n">
        <v>420</v>
      </c>
      <c r="I68" s="10" t="s">
        <v>86</v>
      </c>
    </row>
    <row r="69" customFormat="false" ht="15" hidden="false" customHeight="false" outlineLevel="0" collapsed="false">
      <c r="A69" s="5" t="s">
        <v>87</v>
      </c>
      <c r="B69" s="9" t="n">
        <v>420</v>
      </c>
      <c r="C69" s="9" t="n">
        <v>420</v>
      </c>
      <c r="D69" s="9" t="n">
        <v>420</v>
      </c>
      <c r="E69" s="9" t="n">
        <v>420</v>
      </c>
      <c r="F69" s="9" t="n">
        <v>420</v>
      </c>
      <c r="G69" s="9" t="n">
        <v>420</v>
      </c>
    </row>
    <row r="70" customFormat="false" ht="15" hidden="false" customHeight="false" outlineLevel="0" collapsed="false">
      <c r="A70" s="5" t="s">
        <v>88</v>
      </c>
      <c r="B70" s="9" t="n">
        <v>420</v>
      </c>
      <c r="C70" s="9" t="n">
        <v>420</v>
      </c>
      <c r="D70" s="9" t="n">
        <v>420</v>
      </c>
      <c r="E70" s="9" t="n">
        <v>420</v>
      </c>
      <c r="F70" s="9" t="n">
        <v>420</v>
      </c>
      <c r="G70" s="9" t="n">
        <v>420</v>
      </c>
    </row>
    <row r="71" customFormat="false" ht="15" hidden="false" customHeight="false" outlineLevel="0" collapsed="false">
      <c r="A71" s="4" t="s">
        <v>89</v>
      </c>
      <c r="B71" s="14" t="n">
        <f aca="false">CHOOSE($C$5,B68,B69,B70)</f>
        <v>420</v>
      </c>
      <c r="C71" s="14" t="n">
        <f aca="false">CHOOSE($C$5,C68,C69,C70)</f>
        <v>420</v>
      </c>
      <c r="D71" s="14" t="n">
        <f aca="false">CHOOSE($C$5,D68,D69,D70)</f>
        <v>420</v>
      </c>
      <c r="E71" s="14" t="n">
        <f aca="false">CHOOSE($C$5,E68,E69,E70)</f>
        <v>420</v>
      </c>
      <c r="F71" s="14" t="n">
        <f aca="false">CHOOSE($C$5,F68,F69,F70)</f>
        <v>420</v>
      </c>
      <c r="G71" s="14" t="n">
        <f aca="false">CHOOSE($C$5,G68,G69,G70)</f>
        <v>420</v>
      </c>
    </row>
    <row r="73" customFormat="false" ht="15" hidden="false" customHeight="false" outlineLevel="0" collapsed="false">
      <c r="A73" s="7" t="s">
        <v>90</v>
      </c>
      <c r="B73" s="8" t="s">
        <v>12</v>
      </c>
      <c r="C73" s="8"/>
      <c r="D73" s="8"/>
      <c r="E73" s="8"/>
      <c r="F73" s="8"/>
      <c r="G73" s="8"/>
      <c r="H73" s="8"/>
      <c r="I73" s="8" t="s">
        <v>13</v>
      </c>
    </row>
    <row r="74" customFormat="false" ht="15" hidden="false" customHeight="false" outlineLevel="0" collapsed="false">
      <c r="A74" s="5" t="s">
        <v>91</v>
      </c>
      <c r="B74" s="15" t="n">
        <v>68.27</v>
      </c>
      <c r="I74" s="10" t="s">
        <v>92</v>
      </c>
    </row>
    <row r="75" customFormat="false" ht="15" hidden="false" customHeight="false" outlineLevel="0" collapsed="false">
      <c r="A75" s="5" t="s">
        <v>93</v>
      </c>
      <c r="B75" s="9" t="n">
        <v>419.65</v>
      </c>
      <c r="I75" s="10" t="s">
        <v>94</v>
      </c>
    </row>
    <row r="76" customFormat="false" ht="15" hidden="false" customHeight="false" outlineLevel="0" collapsed="false">
      <c r="A76" s="5" t="s">
        <v>95</v>
      </c>
      <c r="B76" s="9" t="n">
        <v>6606</v>
      </c>
      <c r="I76" s="10" t="s">
        <v>96</v>
      </c>
    </row>
    <row r="77" customFormat="false" ht="15" hidden="false" customHeight="false" outlineLevel="0" collapsed="false">
      <c r="A77" s="5" t="s">
        <v>97</v>
      </c>
      <c r="B77" s="9" t="n">
        <v>4205</v>
      </c>
      <c r="I77" s="10" t="s">
        <v>98</v>
      </c>
    </row>
    <row r="78" customFormat="false" ht="15" hidden="false" customHeight="false" outlineLevel="0" collapsed="false">
      <c r="A78" s="5" t="s">
        <v>99</v>
      </c>
      <c r="B78" s="9" t="n">
        <v>0</v>
      </c>
      <c r="I78" s="10" t="s">
        <v>100</v>
      </c>
    </row>
    <row r="79" customFormat="false" ht="15" hidden="false" customHeight="false" outlineLevel="0" collapsed="false">
      <c r="A79" s="5" t="s">
        <v>101</v>
      </c>
      <c r="B79" s="12" t="n">
        <v>0.68</v>
      </c>
      <c r="I79" s="10" t="s">
        <v>102</v>
      </c>
    </row>
    <row r="80" customFormat="false" ht="15" hidden="false" customHeight="false" outlineLevel="0" collapsed="false">
      <c r="A80" s="5" t="s">
        <v>103</v>
      </c>
      <c r="B80" s="12" t="n">
        <v>0.01</v>
      </c>
      <c r="I80" s="10" t="s">
        <v>104</v>
      </c>
    </row>
    <row r="81" customFormat="false" ht="15" hidden="false" customHeight="false" outlineLevel="0" collapsed="false">
      <c r="A81" s="5" t="s">
        <v>105</v>
      </c>
      <c r="B81" s="16" t="n">
        <v>7</v>
      </c>
      <c r="I81" s="10" t="s">
        <v>106</v>
      </c>
    </row>
    <row r="82" customFormat="false" ht="15" hidden="false" customHeight="false" outlineLevel="0" collapsed="false">
      <c r="A82" s="5" t="s">
        <v>107</v>
      </c>
      <c r="B82" s="12" t="n">
        <v>0.23</v>
      </c>
      <c r="I82" s="10" t="s">
        <v>108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6" min="2" style="0" width="12"/>
    <col collapsed="false" customWidth="true" hidden="false" outlineLevel="0" max="7" min="7" style="0" width="50"/>
  </cols>
  <sheetData>
    <row r="1" customFormat="false" ht="17.35" hidden="false" customHeight="false" outlineLevel="0" collapsed="false">
      <c r="A1" s="1" t="s">
        <v>109</v>
      </c>
    </row>
    <row r="2" customFormat="false" ht="15" hidden="false" customHeight="false" outlineLevel="0" collapsed="false">
      <c r="A2" s="2" t="s">
        <v>1</v>
      </c>
    </row>
    <row r="4" customFormat="false" ht="15" hidden="false" customHeight="false" outlineLevel="0" collapsed="false">
      <c r="A4" s="7" t="s">
        <v>110</v>
      </c>
      <c r="B4" s="8" t="s">
        <v>111</v>
      </c>
      <c r="C4" s="8" t="s">
        <v>112</v>
      </c>
      <c r="D4" s="8" t="s">
        <v>113</v>
      </c>
      <c r="E4" s="8" t="s">
        <v>13</v>
      </c>
    </row>
    <row r="5" customFormat="false" ht="15" hidden="false" customHeight="false" outlineLevel="0" collapsed="false">
      <c r="A5" s="5" t="s">
        <v>114</v>
      </c>
      <c r="B5" s="9" t="n">
        <v>13980</v>
      </c>
      <c r="C5" s="9" t="n">
        <v>16300</v>
      </c>
      <c r="D5" s="9" t="n">
        <v>17126</v>
      </c>
      <c r="E5" s="10" t="s">
        <v>115</v>
      </c>
    </row>
    <row r="6" customFormat="false" ht="15" hidden="false" customHeight="false" outlineLevel="0" collapsed="false">
      <c r="A6" s="5" t="s">
        <v>116</v>
      </c>
      <c r="B6" s="9" t="n">
        <v>7324</v>
      </c>
      <c r="C6" s="9" t="n">
        <v>7656</v>
      </c>
      <c r="D6" s="9" t="n">
        <v>8058</v>
      </c>
      <c r="E6" s="10" t="s">
        <v>115</v>
      </c>
    </row>
    <row r="7" customFormat="false" ht="15" hidden="false" customHeight="false" outlineLevel="0" collapsed="false">
      <c r="A7" s="5" t="s">
        <v>117</v>
      </c>
      <c r="B7" s="9" t="n">
        <v>5444</v>
      </c>
      <c r="C7" s="9" t="n">
        <v>6865</v>
      </c>
      <c r="D7" s="9" t="n">
        <v>7339</v>
      </c>
      <c r="E7" s="10" t="s">
        <v>115</v>
      </c>
    </row>
    <row r="8" customFormat="false" ht="15" hidden="false" customHeight="false" outlineLevel="0" collapsed="false">
      <c r="A8" s="5" t="s">
        <v>118</v>
      </c>
      <c r="B8" s="9" t="n">
        <v>5955</v>
      </c>
      <c r="C8" s="9" t="n">
        <v>6930</v>
      </c>
      <c r="D8" s="9" t="n">
        <v>7348</v>
      </c>
      <c r="E8" s="10" t="s">
        <v>115</v>
      </c>
    </row>
    <row r="9" customFormat="false" ht="15" hidden="false" customHeight="false" outlineLevel="0" collapsed="false">
      <c r="A9" s="5" t="s">
        <v>119</v>
      </c>
      <c r="B9" s="9" t="n">
        <v>7875</v>
      </c>
      <c r="C9" s="9" t="n">
        <v>9325</v>
      </c>
      <c r="D9" s="9" t="n">
        <v>9666</v>
      </c>
      <c r="E9" s="10" t="s">
        <v>115</v>
      </c>
    </row>
    <row r="10" customFormat="false" ht="15" hidden="false" customHeight="false" outlineLevel="0" collapsed="false">
      <c r="A10" s="5" t="s">
        <v>120</v>
      </c>
      <c r="B10" s="9" t="n">
        <v>2883</v>
      </c>
      <c r="C10" s="9" t="n">
        <v>3624</v>
      </c>
      <c r="D10" s="9" t="n">
        <v>3906</v>
      </c>
      <c r="E10" s="10" t="s">
        <v>115</v>
      </c>
    </row>
    <row r="11" customFormat="false" ht="15" hidden="false" customHeight="false" outlineLevel="0" collapsed="false">
      <c r="A11" s="5" t="s">
        <v>121</v>
      </c>
      <c r="B11" s="9" t="n">
        <v>2693</v>
      </c>
      <c r="C11" s="9" t="n">
        <v>3030</v>
      </c>
      <c r="D11" s="9" t="n">
        <v>3099</v>
      </c>
      <c r="E11" s="10" t="s">
        <v>115</v>
      </c>
    </row>
    <row r="12" customFormat="false" ht="15" hidden="false" customHeight="false" outlineLevel="0" collapsed="false">
      <c r="A12" s="5" t="s">
        <v>122</v>
      </c>
      <c r="B12" s="9" t="n">
        <v>506</v>
      </c>
      <c r="C12" s="9" t="n">
        <v>945</v>
      </c>
      <c r="D12" s="9" t="n">
        <v>1438</v>
      </c>
      <c r="E12" s="10" t="s">
        <v>115</v>
      </c>
    </row>
    <row r="13" customFormat="false" ht="15" hidden="false" customHeight="false" outlineLevel="0" collapsed="false">
      <c r="A13" s="5" t="s">
        <v>123</v>
      </c>
      <c r="B13" s="9" t="n">
        <v>-316</v>
      </c>
      <c r="C13" s="9" t="n">
        <v>-351</v>
      </c>
      <c r="D13" s="9" t="n">
        <v>-631</v>
      </c>
      <c r="E13" s="10" t="s">
        <v>115</v>
      </c>
    </row>
    <row r="14" customFormat="false" ht="15" hidden="false" customHeight="false" outlineLevel="0" collapsed="false">
      <c r="A14" s="5" t="s">
        <v>124</v>
      </c>
      <c r="B14" s="9" t="n">
        <v>389</v>
      </c>
      <c r="C14" s="9" t="n">
        <v>385</v>
      </c>
      <c r="D14" s="9" t="n">
        <v>410</v>
      </c>
      <c r="E14" s="10" t="s">
        <v>115</v>
      </c>
    </row>
    <row r="15" customFormat="false" ht="15" hidden="false" customHeight="false" outlineLevel="0" collapsed="false">
      <c r="A15" s="5" t="s">
        <v>125</v>
      </c>
      <c r="B15" s="9" t="n">
        <v>345</v>
      </c>
      <c r="C15" s="9" t="n">
        <v>331</v>
      </c>
      <c r="D15" s="9" t="n">
        <v>502</v>
      </c>
      <c r="E15" s="10" t="s">
        <v>115</v>
      </c>
    </row>
    <row r="16" customFormat="false" ht="15" hidden="false" customHeight="false" outlineLevel="0" collapsed="false">
      <c r="A16" s="5" t="s">
        <v>126</v>
      </c>
      <c r="B16" s="9" t="n">
        <v>1495</v>
      </c>
      <c r="C16" s="9" t="n">
        <v>2993</v>
      </c>
      <c r="D16" s="9" t="n">
        <v>1468</v>
      </c>
      <c r="E16" s="10" t="s">
        <v>115</v>
      </c>
    </row>
    <row r="17" customFormat="false" ht="15" hidden="false" customHeight="false" outlineLevel="0" collapsed="false">
      <c r="A17" s="5" t="s">
        <v>127</v>
      </c>
      <c r="D17" s="9" t="n">
        <v>2401</v>
      </c>
      <c r="E17" s="10" t="s">
        <v>128</v>
      </c>
    </row>
    <row r="19" customFormat="false" ht="15" hidden="false" customHeight="false" outlineLevel="0" collapsed="false">
      <c r="A19" s="2"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7" min="2" style="0" width="12"/>
    <col collapsed="false" customWidth="true" hidden="false" outlineLevel="0" max="8" min="8" style="0" width="46"/>
  </cols>
  <sheetData>
    <row r="1" customFormat="false" ht="17.35" hidden="false" customHeight="false" outlineLevel="0" collapsed="false">
      <c r="A1" s="1" t="s">
        <v>130</v>
      </c>
    </row>
    <row r="2" customFormat="false" ht="15" hidden="false" customHeight="false" outlineLevel="0" collapsed="false">
      <c r="A2" s="2" t="s">
        <v>1</v>
      </c>
    </row>
    <row r="4" customFormat="false" ht="15" hidden="false" customHeight="false" outlineLevel="0" collapsed="false">
      <c r="A4" s="7" t="s">
        <v>110</v>
      </c>
      <c r="B4" s="8" t="s">
        <v>33</v>
      </c>
      <c r="C4" s="8" t="s">
        <v>34</v>
      </c>
      <c r="D4" s="8" t="s">
        <v>35</v>
      </c>
      <c r="E4" s="8" t="s">
        <v>36</v>
      </c>
      <c r="F4" s="8" t="s">
        <v>37</v>
      </c>
      <c r="G4" s="8" t="s">
        <v>38</v>
      </c>
      <c r="H4" s="8" t="s">
        <v>39</v>
      </c>
    </row>
    <row r="5" customFormat="false" ht="15" hidden="false" customHeight="false" outlineLevel="0" collapsed="false">
      <c r="A5" s="5" t="s">
        <v>118</v>
      </c>
      <c r="B5" s="17" t="n">
        <f aca="false">Inputs!B17</f>
        <v>7500</v>
      </c>
      <c r="C5" s="18" t="n">
        <f aca="false">B5*(1+Inputs!C$26)</f>
        <v>7350</v>
      </c>
      <c r="D5" s="18" t="n">
        <f aca="false">C5*(1+Inputs!D$26)</f>
        <v>7350</v>
      </c>
      <c r="E5" s="18" t="n">
        <f aca="false">D5*(1+Inputs!E$26)</f>
        <v>7203</v>
      </c>
      <c r="F5" s="18" t="n">
        <f aca="false">E5*(1+Inputs!F$26)</f>
        <v>7203</v>
      </c>
      <c r="G5" s="18" t="n">
        <f aca="false">F5*(1+Inputs!G$26)</f>
        <v>7058.94</v>
      </c>
    </row>
    <row r="6" customFormat="false" ht="15" hidden="false" customHeight="false" outlineLevel="0" collapsed="false">
      <c r="A6" s="5" t="s">
        <v>119</v>
      </c>
      <c r="B6" s="17" t="n">
        <f aca="false">Inputs!B18</f>
        <v>9900</v>
      </c>
      <c r="C6" s="18" t="n">
        <f aca="false">B6*(1+Inputs!C$31)</f>
        <v>9801</v>
      </c>
      <c r="D6" s="18" t="n">
        <f aca="false">C6*(1+Inputs!D$31)</f>
        <v>10095.03</v>
      </c>
      <c r="E6" s="18" t="n">
        <f aca="false">D6*(1+Inputs!E$31)</f>
        <v>9994.0797</v>
      </c>
      <c r="F6" s="18" t="n">
        <f aca="false">E6*(1+Inputs!F$31)</f>
        <v>10293.902091</v>
      </c>
      <c r="G6" s="18" t="n">
        <f aca="false">F6*(1+Inputs!G$31)</f>
        <v>10190.96307009</v>
      </c>
    </row>
    <row r="7" customFormat="false" ht="15" hidden="false" customHeight="false" outlineLevel="0" collapsed="false">
      <c r="A7" s="5" t="s">
        <v>131</v>
      </c>
      <c r="B7" s="17" t="n">
        <f aca="false">Inputs!B19</f>
        <v>400</v>
      </c>
      <c r="C7" s="18" t="n">
        <f aca="false">B7*(1+Inputs!C$36)</f>
        <v>400</v>
      </c>
      <c r="D7" s="18" t="n">
        <f aca="false">C7*(1+Inputs!D$36)</f>
        <v>400</v>
      </c>
      <c r="E7" s="18" t="n">
        <f aca="false">D7*(1+Inputs!E$36)</f>
        <v>400</v>
      </c>
      <c r="F7" s="18" t="n">
        <f aca="false">E7*(1+Inputs!F$36)</f>
        <v>400</v>
      </c>
      <c r="G7" s="18" t="n">
        <f aca="false">F7*(1+Inputs!G$36)</f>
        <v>400</v>
      </c>
    </row>
    <row r="8" customFormat="false" ht="15" hidden="false" customHeight="false" outlineLevel="0" collapsed="false">
      <c r="A8" s="19" t="s">
        <v>132</v>
      </c>
      <c r="B8" s="20" t="n">
        <f aca="false">SUM(B5:B7)</f>
        <v>17800</v>
      </c>
      <c r="C8" s="20" t="n">
        <f aca="false">SUM(C5:C7)</f>
        <v>17551</v>
      </c>
      <c r="D8" s="20" t="n">
        <f aca="false">SUM(D5:D7)</f>
        <v>17845.03</v>
      </c>
      <c r="E8" s="20" t="n">
        <f aca="false">SUM(E5:E7)</f>
        <v>17597.0797</v>
      </c>
      <c r="F8" s="20" t="n">
        <f aca="false">SUM(F5:F7)</f>
        <v>17896.902091</v>
      </c>
      <c r="G8" s="20" t="n">
        <f aca="false">SUM(G5:G7)</f>
        <v>17649.90307009</v>
      </c>
    </row>
    <row r="9" customFormat="false" ht="15" hidden="false" customHeight="false" outlineLevel="0" collapsed="false">
      <c r="A9" s="5" t="s">
        <v>133</v>
      </c>
      <c r="B9" s="21"/>
      <c r="C9" s="21" t="n">
        <f aca="false">C8/B8-1</f>
        <v>-0.0139887640449439</v>
      </c>
      <c r="D9" s="21" t="n">
        <f aca="false">D8/C8-1</f>
        <v>0.0167528915731296</v>
      </c>
      <c r="E9" s="21" t="n">
        <f aca="false">E8/D8-1</f>
        <v>-0.0138946418134347</v>
      </c>
      <c r="F9" s="21" t="n">
        <f aca="false">F8/E8-1</f>
        <v>0.0170381902060714</v>
      </c>
      <c r="G9" s="21" t="n">
        <f aca="false">G8/F8-1</f>
        <v>-0.0138012165264183</v>
      </c>
    </row>
    <row r="11" customFormat="false" ht="15" hidden="false" customHeight="false" outlineLevel="0" collapsed="false">
      <c r="A11" s="5" t="s">
        <v>134</v>
      </c>
      <c r="B11" s="18" t="n">
        <f aca="false">B8*Inputs!B$41</f>
        <v>3916</v>
      </c>
      <c r="C11" s="18" t="n">
        <f aca="false">C8*Inputs!C$41</f>
        <v>3773.465</v>
      </c>
      <c r="D11" s="18" t="n">
        <f aca="false">D8*Inputs!D$41</f>
        <v>3783.14636</v>
      </c>
      <c r="E11" s="18" t="n">
        <f aca="false">E8*Inputs!E$41</f>
        <v>3660.1925776</v>
      </c>
      <c r="F11" s="18" t="n">
        <f aca="false">F8*Inputs!F$41</f>
        <v>3668.864928655</v>
      </c>
      <c r="G11" s="18" t="n">
        <f aca="false">G8*Inputs!G$41</f>
        <v>3529.980614018</v>
      </c>
    </row>
    <row r="12" customFormat="false" ht="15" hidden="false" customHeight="false" outlineLevel="0" collapsed="false">
      <c r="A12" s="5" t="s">
        <v>135</v>
      </c>
      <c r="B12" s="17" t="n">
        <f aca="false">Inputs!B$46</f>
        <v>0</v>
      </c>
      <c r="C12" s="17" t="n">
        <f aca="false">Inputs!C$46</f>
        <v>0</v>
      </c>
      <c r="D12" s="17" t="n">
        <f aca="false">Inputs!D$46</f>
        <v>0</v>
      </c>
      <c r="E12" s="17" t="n">
        <f aca="false">Inputs!E$46</f>
        <v>0</v>
      </c>
      <c r="F12" s="17" t="n">
        <f aca="false">Inputs!F$46</f>
        <v>0</v>
      </c>
      <c r="G12" s="17" t="n">
        <f aca="false">Inputs!G$46</f>
        <v>0</v>
      </c>
    </row>
    <row r="13" customFormat="false" ht="15" hidden="false" customHeight="false" outlineLevel="0" collapsed="false">
      <c r="A13" s="19" t="s">
        <v>120</v>
      </c>
      <c r="B13" s="20" t="n">
        <f aca="false">B11+B12</f>
        <v>3916</v>
      </c>
      <c r="C13" s="20" t="n">
        <f aca="false">C11+C12</f>
        <v>3773.465</v>
      </c>
      <c r="D13" s="20" t="n">
        <f aca="false">D11+D12</f>
        <v>3783.14636</v>
      </c>
      <c r="E13" s="20" t="n">
        <f aca="false">E11+E12</f>
        <v>3660.1925776</v>
      </c>
      <c r="F13" s="20" t="n">
        <f aca="false">F11+F12</f>
        <v>3668.864928655</v>
      </c>
      <c r="G13" s="20" t="n">
        <f aca="false">G11+G12</f>
        <v>3529.980614018</v>
      </c>
    </row>
    <row r="14" customFormat="false" ht="15" hidden="false" customHeight="false" outlineLevel="0" collapsed="false">
      <c r="A14" s="5" t="s">
        <v>136</v>
      </c>
      <c r="B14" s="21" t="n">
        <f aca="false">B13/B8</f>
        <v>0.22</v>
      </c>
      <c r="C14" s="21" t="n">
        <f aca="false">C13/C8</f>
        <v>0.215</v>
      </c>
      <c r="D14" s="21" t="n">
        <f aca="false">D13/D8</f>
        <v>0.212</v>
      </c>
      <c r="E14" s="21" t="n">
        <f aca="false">E13/E8</f>
        <v>0.208</v>
      </c>
      <c r="F14" s="21" t="n">
        <f aca="false">F13/F8</f>
        <v>0.205</v>
      </c>
      <c r="G14" s="21" t="n">
        <f aca="false">G13/G8</f>
        <v>0.2</v>
      </c>
    </row>
    <row r="15" customFormat="false" ht="15" hidden="false" customHeight="false" outlineLevel="0" collapsed="false">
      <c r="A15" s="5" t="s">
        <v>137</v>
      </c>
      <c r="B15" s="17" t="n">
        <f aca="false">-Inputs!B$51</f>
        <v>-140</v>
      </c>
      <c r="C15" s="17" t="n">
        <f aca="false">-Inputs!C$51</f>
        <v>-140</v>
      </c>
      <c r="D15" s="17" t="n">
        <f aca="false">-Inputs!D$51</f>
        <v>-140</v>
      </c>
      <c r="E15" s="17" t="n">
        <f aca="false">-Inputs!E$51</f>
        <v>-140</v>
      </c>
      <c r="F15" s="17" t="n">
        <f aca="false">-Inputs!F$51</f>
        <v>-140</v>
      </c>
      <c r="G15" s="17" t="n">
        <f aca="false">-Inputs!G$51</f>
        <v>-140</v>
      </c>
    </row>
    <row r="16" customFormat="false" ht="15" hidden="false" customHeight="false" outlineLevel="0" collapsed="false">
      <c r="A16" s="5" t="s">
        <v>138</v>
      </c>
      <c r="B16" s="17" t="n">
        <f aca="false">-Inputs!B$56</f>
        <v>-0</v>
      </c>
      <c r="C16" s="17" t="n">
        <f aca="false">-Inputs!C$56</f>
        <v>-0</v>
      </c>
      <c r="D16" s="17" t="n">
        <f aca="false">-Inputs!D$56</f>
        <v>-0</v>
      </c>
      <c r="E16" s="17" t="n">
        <f aca="false">-Inputs!E$56</f>
        <v>-0</v>
      </c>
      <c r="F16" s="17" t="n">
        <f aca="false">-Inputs!F$56</f>
        <v>-0</v>
      </c>
      <c r="G16" s="17" t="n">
        <f aca="false">-Inputs!G$56</f>
        <v>-0</v>
      </c>
    </row>
    <row r="17" customFormat="false" ht="15" hidden="false" customHeight="false" outlineLevel="0" collapsed="false">
      <c r="A17" s="5" t="s">
        <v>139</v>
      </c>
      <c r="B17" s="18" t="n">
        <f aca="false">B13+B15+B16</f>
        <v>3776</v>
      </c>
      <c r="C17" s="18" t="n">
        <f aca="false">C13+C15+C16</f>
        <v>3633.465</v>
      </c>
      <c r="D17" s="18" t="n">
        <f aca="false">D13+D15+D16</f>
        <v>3643.14636</v>
      </c>
      <c r="E17" s="18" t="n">
        <f aca="false">E13+E15+E16</f>
        <v>3520.1925776</v>
      </c>
      <c r="F17" s="18" t="n">
        <f aca="false">F13+F15+F16</f>
        <v>3528.864928655</v>
      </c>
      <c r="G17" s="18" t="n">
        <f aca="false">G13+G15+G16</f>
        <v>3389.980614018</v>
      </c>
    </row>
    <row r="18" customFormat="false" ht="15" hidden="false" customHeight="false" outlineLevel="0" collapsed="false">
      <c r="A18" s="5" t="s">
        <v>140</v>
      </c>
      <c r="B18" s="17" t="n">
        <f aca="false">-Inputs!B$71</f>
        <v>-420</v>
      </c>
      <c r="C18" s="17" t="n">
        <f aca="false">-Inputs!C$71</f>
        <v>-420</v>
      </c>
      <c r="D18" s="17" t="n">
        <f aca="false">-Inputs!D$71</f>
        <v>-420</v>
      </c>
      <c r="E18" s="17" t="n">
        <f aca="false">-Inputs!E$71</f>
        <v>-420</v>
      </c>
      <c r="F18" s="17" t="n">
        <f aca="false">-Inputs!F$71</f>
        <v>-420</v>
      </c>
      <c r="G18" s="17" t="n">
        <f aca="false">-Inputs!G$71</f>
        <v>-420</v>
      </c>
    </row>
    <row r="19" customFormat="false" ht="15" hidden="false" customHeight="false" outlineLevel="0" collapsed="false">
      <c r="A19" s="5" t="s">
        <v>141</v>
      </c>
      <c r="B19" s="18" t="n">
        <f aca="false">B17+B18</f>
        <v>3356</v>
      </c>
      <c r="C19" s="18" t="n">
        <f aca="false">C17+C18</f>
        <v>3213.465</v>
      </c>
      <c r="D19" s="18" t="n">
        <f aca="false">D17+D18</f>
        <v>3223.14636</v>
      </c>
      <c r="E19" s="18" t="n">
        <f aca="false">E17+E18</f>
        <v>3100.1925776</v>
      </c>
      <c r="F19" s="18" t="n">
        <f aca="false">F17+F18</f>
        <v>3108.864928655</v>
      </c>
      <c r="G19" s="18" t="n">
        <f aca="false">G17+G18</f>
        <v>2969.980614018</v>
      </c>
    </row>
    <row r="20" customFormat="false" ht="15" hidden="false" customHeight="false" outlineLevel="0" collapsed="false">
      <c r="A20" s="5" t="s">
        <v>142</v>
      </c>
      <c r="B20" s="18" t="n">
        <f aca="false">-MAX(0,B19)*Inputs!$B$82</f>
        <v>-771.88</v>
      </c>
      <c r="C20" s="18" t="n">
        <f aca="false">-MAX(0,C19)*Inputs!$B$82</f>
        <v>-739.09695</v>
      </c>
      <c r="D20" s="18" t="n">
        <f aca="false">-MAX(0,D19)*Inputs!$B$82</f>
        <v>-741.3236628</v>
      </c>
      <c r="E20" s="18" t="n">
        <f aca="false">-MAX(0,E19)*Inputs!$B$82</f>
        <v>-713.044292848</v>
      </c>
      <c r="F20" s="18" t="n">
        <f aca="false">-MAX(0,F19)*Inputs!$B$82</f>
        <v>-715.03893359065</v>
      </c>
      <c r="G20" s="18" t="n">
        <f aca="false">-MAX(0,G19)*Inputs!$B$82</f>
        <v>-683.09554122414</v>
      </c>
    </row>
    <row r="21" customFormat="false" ht="15" hidden="false" customHeight="false" outlineLevel="0" collapsed="false">
      <c r="A21" s="5" t="s">
        <v>143</v>
      </c>
      <c r="B21" s="18" t="n">
        <f aca="false">-B8*Inputs!B$61</f>
        <v>-445</v>
      </c>
      <c r="C21" s="18" t="n">
        <f aca="false">-C8*Inputs!C$61</f>
        <v>-438.775</v>
      </c>
      <c r="D21" s="18" t="n">
        <f aca="false">-D8*Inputs!D$61</f>
        <v>-446.12575</v>
      </c>
      <c r="E21" s="18" t="n">
        <f aca="false">-E8*Inputs!E$61</f>
        <v>-439.9269925</v>
      </c>
      <c r="F21" s="18" t="n">
        <f aca="false">-F8*Inputs!F$61</f>
        <v>-447.422552275</v>
      </c>
      <c r="G21" s="18" t="n">
        <f aca="false">-G8*Inputs!G$61</f>
        <v>-441.24757675225</v>
      </c>
    </row>
    <row r="22" customFormat="false" ht="15" hidden="false" customHeight="false" outlineLevel="0" collapsed="false">
      <c r="A22" s="5" t="s">
        <v>144</v>
      </c>
      <c r="B22" s="18" t="n">
        <f aca="false">-B8*Inputs!B$66</f>
        <v>-89</v>
      </c>
      <c r="C22" s="18" t="n">
        <f aca="false">-C8*Inputs!C$66</f>
        <v>-87.755</v>
      </c>
      <c r="D22" s="18" t="n">
        <f aca="false">-D8*Inputs!D$66</f>
        <v>-89.22515</v>
      </c>
      <c r="E22" s="18" t="n">
        <f aca="false">-E8*Inputs!E$66</f>
        <v>-87.9853985</v>
      </c>
      <c r="F22" s="18" t="n">
        <f aca="false">-F8*Inputs!F$66</f>
        <v>-89.484510455</v>
      </c>
      <c r="G22" s="18" t="n">
        <f aca="false">-G8*Inputs!G$66</f>
        <v>-88.24951535045</v>
      </c>
    </row>
    <row r="23" customFormat="false" ht="15" hidden="false" customHeight="false" outlineLevel="0" collapsed="false">
      <c r="A23" s="19" t="s">
        <v>145</v>
      </c>
      <c r="B23" s="20" t="n">
        <f aca="false">B17+B20+B21+B22</f>
        <v>2470.12</v>
      </c>
      <c r="C23" s="20" t="n">
        <f aca="false">C17+C20+C21+C22</f>
        <v>2367.83805</v>
      </c>
      <c r="D23" s="20" t="n">
        <f aca="false">D17+D20+D21+D22</f>
        <v>2366.4717972</v>
      </c>
      <c r="E23" s="20" t="n">
        <f aca="false">E17+E20+E21+E22</f>
        <v>2279.235893752</v>
      </c>
      <c r="F23" s="20" t="n">
        <f aca="false">F17+F20+F21+F22</f>
        <v>2276.91893233435</v>
      </c>
      <c r="G23" s="20" t="n">
        <f aca="false">G17+G20+G21+G22</f>
        <v>2177.38798069116</v>
      </c>
    </row>
    <row r="24" customFormat="false" ht="15" hidden="false" customHeight="false" outlineLevel="0" collapsed="false">
      <c r="A24" s="5" t="s">
        <v>146</v>
      </c>
      <c r="B24" s="21" t="n">
        <f aca="false">B23/B13</f>
        <v>0.630776302349336</v>
      </c>
      <c r="C24" s="21" t="n">
        <f aca="false">C23/C13</f>
        <v>0.627497021967873</v>
      </c>
      <c r="D24" s="21" t="n">
        <f aca="false">D23/D13</f>
        <v>0.625530067306198</v>
      </c>
      <c r="E24" s="21" t="n">
        <f aca="false">E23/E13</f>
        <v>0.622709282484394</v>
      </c>
      <c r="F24" s="21" t="n">
        <f aca="false">F23/F13</f>
        <v>0.620605821312987</v>
      </c>
      <c r="G24" s="21" t="n">
        <f aca="false">G23/G13</f>
        <v>0.616827178042983</v>
      </c>
    </row>
    <row r="26" customFormat="false" ht="15" hidden="false" customHeight="false" outlineLevel="0" collapsed="false">
      <c r="A26" s="2"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60"/>
  </cols>
  <sheetData>
    <row r="1" customFormat="false" ht="17.35" hidden="false" customHeight="false" outlineLevel="0" collapsed="false">
      <c r="A1" s="1" t="s">
        <v>148</v>
      </c>
    </row>
    <row r="2" customFormat="false" ht="15" hidden="false" customHeight="false" outlineLevel="0" collapsed="false">
      <c r="A2" s="2" t="s">
        <v>1</v>
      </c>
    </row>
    <row r="4" customFormat="false" ht="15" hidden="false" customHeight="false" outlineLevel="0" collapsed="false">
      <c r="A4" s="7" t="s">
        <v>149</v>
      </c>
      <c r="B4" s="8" t="s">
        <v>12</v>
      </c>
      <c r="C4" s="8" t="s">
        <v>150</v>
      </c>
    </row>
    <row r="5" customFormat="false" ht="15" hidden="false" customHeight="false" outlineLevel="0" collapsed="false">
      <c r="A5" s="5" t="s">
        <v>151</v>
      </c>
      <c r="B5" s="12" t="n">
        <v>0.0495</v>
      </c>
      <c r="C5" s="10" t="s">
        <v>152</v>
      </c>
    </row>
    <row r="6" customFormat="false" ht="15" hidden="false" customHeight="false" outlineLevel="0" collapsed="false">
      <c r="A6" s="5" t="s">
        <v>153</v>
      </c>
      <c r="B6" s="12" t="n">
        <v>0.045</v>
      </c>
      <c r="C6" s="10" t="s">
        <v>154</v>
      </c>
    </row>
    <row r="7" customFormat="false" ht="15" hidden="false" customHeight="false" outlineLevel="0" collapsed="false">
      <c r="A7" s="5" t="s">
        <v>155</v>
      </c>
      <c r="B7" s="22" t="n">
        <v>0.6</v>
      </c>
      <c r="C7" s="10" t="s">
        <v>156</v>
      </c>
    </row>
    <row r="8" customFormat="false" ht="15" hidden="false" customHeight="false" outlineLevel="0" collapsed="false">
      <c r="A8" s="5" t="s">
        <v>157</v>
      </c>
      <c r="B8" s="17" t="n">
        <f aca="false">Inputs!$B$74*Inputs!$B$75</f>
        <v>28649.5055</v>
      </c>
      <c r="C8" s="10" t="s">
        <v>158</v>
      </c>
    </row>
    <row r="9" customFormat="false" ht="15" hidden="false" customHeight="false" outlineLevel="0" collapsed="false">
      <c r="A9" s="5" t="s">
        <v>159</v>
      </c>
      <c r="B9" s="17" t="n">
        <f aca="false">Inputs!$B$76-Inputs!$B$77</f>
        <v>2401</v>
      </c>
      <c r="C9" s="10" t="s">
        <v>160</v>
      </c>
    </row>
    <row r="10" customFormat="false" ht="15" hidden="false" customHeight="false" outlineLevel="0" collapsed="false">
      <c r="A10" s="5" t="s">
        <v>161</v>
      </c>
      <c r="B10" s="23" t="n">
        <f aca="false">B9/B8</f>
        <v>0.0838059840160243</v>
      </c>
      <c r="C10" s="10"/>
    </row>
    <row r="11" customFormat="false" ht="15" hidden="false" customHeight="false" outlineLevel="0" collapsed="false">
      <c r="A11" s="5" t="s">
        <v>162</v>
      </c>
      <c r="B11" s="24" t="n">
        <f aca="false">Inputs!$B$82</f>
        <v>0.23</v>
      </c>
      <c r="C11" s="10"/>
    </row>
    <row r="12" customFormat="false" ht="15" hidden="false" customHeight="false" outlineLevel="0" collapsed="false">
      <c r="A12" s="5" t="s">
        <v>163</v>
      </c>
      <c r="B12" s="23" t="n">
        <f aca="false">B7*(1+(1-B11)*B10)</f>
        <v>0.638718364615403</v>
      </c>
      <c r="C12" s="10" t="s">
        <v>164</v>
      </c>
    </row>
    <row r="13" customFormat="false" ht="15" hidden="false" customHeight="false" outlineLevel="0" collapsed="false">
      <c r="A13" s="5" t="s">
        <v>165</v>
      </c>
      <c r="B13" s="21" t="n">
        <f aca="false">B5+B12*B6</f>
        <v>0.0782423264076931</v>
      </c>
      <c r="C13" s="10" t="s">
        <v>166</v>
      </c>
    </row>
    <row r="14" customFormat="false" ht="15" hidden="false" customHeight="false" outlineLevel="0" collapsed="false">
      <c r="A14" s="5" t="s">
        <v>167</v>
      </c>
      <c r="B14" s="12" t="n">
        <v>0.055</v>
      </c>
      <c r="C14" s="10" t="s">
        <v>168</v>
      </c>
    </row>
    <row r="15" customFormat="false" ht="15" hidden="false" customHeight="false" outlineLevel="0" collapsed="false">
      <c r="A15" s="5" t="s">
        <v>169</v>
      </c>
      <c r="B15" s="21" t="n">
        <f aca="false">B14*(1-B11)</f>
        <v>0.04235</v>
      </c>
      <c r="C15" s="10"/>
    </row>
    <row r="16" customFormat="false" ht="15" hidden="false" customHeight="false" outlineLevel="0" collapsed="false">
      <c r="A16" s="5" t="s">
        <v>170</v>
      </c>
      <c r="B16" s="21" t="n">
        <f aca="false">B8/(B8+B9)</f>
        <v>0.92267436676675</v>
      </c>
      <c r="C16" s="10" t="s">
        <v>171</v>
      </c>
    </row>
    <row r="17" customFormat="false" ht="15" hidden="false" customHeight="false" outlineLevel="0" collapsed="false">
      <c r="A17" s="5" t="s">
        <v>172</v>
      </c>
      <c r="B17" s="21" t="n">
        <f aca="false">B9/(B8+B9)</f>
        <v>0.0773256332332496</v>
      </c>
      <c r="C17" s="10"/>
    </row>
    <row r="18" customFormat="false" ht="15" hidden="false" customHeight="false" outlineLevel="0" collapsed="false">
      <c r="A18" s="4" t="s">
        <v>173</v>
      </c>
      <c r="B18" s="25" t="n">
        <f aca="false">B16*B13+B17*B15</f>
        <v>0.0754669295400038</v>
      </c>
      <c r="C18" s="10"/>
    </row>
    <row r="20" customFormat="false" ht="15" hidden="false" customHeight="false" outlineLevel="0" collapsed="false">
      <c r="A20" s="2"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7" min="2" style="0" width="12"/>
    <col collapsed="false" customWidth="true" hidden="false" outlineLevel="0" max="8" min="8" style="0" width="40"/>
  </cols>
  <sheetData>
    <row r="1" customFormat="false" ht="17.35" hidden="false" customHeight="false" outlineLevel="0" collapsed="false">
      <c r="A1" s="1" t="s">
        <v>175</v>
      </c>
    </row>
    <row r="2" customFormat="false" ht="15" hidden="false" customHeight="false" outlineLevel="0" collapsed="false">
      <c r="A2" s="2" t="s">
        <v>1</v>
      </c>
    </row>
    <row r="4" customFormat="false" ht="15" hidden="false" customHeight="false" outlineLevel="0" collapsed="false">
      <c r="A4" s="7" t="s">
        <v>110</v>
      </c>
      <c r="B4" s="8" t="s">
        <v>33</v>
      </c>
      <c r="C4" s="8" t="s">
        <v>34</v>
      </c>
      <c r="D4" s="8" t="s">
        <v>35</v>
      </c>
      <c r="E4" s="8" t="s">
        <v>36</v>
      </c>
      <c r="F4" s="8" t="s">
        <v>37</v>
      </c>
      <c r="G4" s="8" t="s">
        <v>38</v>
      </c>
      <c r="H4" s="8" t="s">
        <v>39</v>
      </c>
    </row>
    <row r="5" customFormat="false" ht="15" hidden="false" customHeight="false" outlineLevel="0" collapsed="false">
      <c r="A5" s="5" t="s">
        <v>145</v>
      </c>
      <c r="B5" s="17" t="n">
        <f aca="false">Forecast!B23</f>
        <v>2470.12</v>
      </c>
      <c r="C5" s="17" t="n">
        <f aca="false">Forecast!C23</f>
        <v>2367.83805</v>
      </c>
      <c r="D5" s="17" t="n">
        <f aca="false">Forecast!D23</f>
        <v>2366.4717972</v>
      </c>
      <c r="E5" s="17" t="n">
        <f aca="false">Forecast!E23</f>
        <v>2279.235893752</v>
      </c>
      <c r="F5" s="17" t="n">
        <f aca="false">Forecast!F23</f>
        <v>2276.91893233435</v>
      </c>
      <c r="G5" s="17" t="n">
        <f aca="false">Forecast!G23</f>
        <v>2177.38798069116</v>
      </c>
    </row>
    <row r="6" customFormat="false" ht="15" hidden="false" customHeight="false" outlineLevel="0" collapsed="false">
      <c r="A6" s="5" t="s">
        <v>176</v>
      </c>
      <c r="B6" s="24" t="n">
        <f aca="false">Inputs!$B$79</f>
        <v>0.68</v>
      </c>
      <c r="C6" s="12" t="n">
        <v>1</v>
      </c>
      <c r="D6" s="12" t="n">
        <v>1</v>
      </c>
      <c r="E6" s="12" t="n">
        <v>1</v>
      </c>
      <c r="F6" s="12" t="n">
        <v>1</v>
      </c>
      <c r="G6" s="12" t="n">
        <v>1</v>
      </c>
    </row>
    <row r="7" customFormat="false" ht="15" hidden="false" customHeight="false" outlineLevel="0" collapsed="false">
      <c r="A7" s="5" t="s">
        <v>177</v>
      </c>
      <c r="B7" s="18" t="n">
        <f aca="false">B5*B6</f>
        <v>1679.6816</v>
      </c>
      <c r="C7" s="18" t="n">
        <f aca="false">C5*C6</f>
        <v>2367.83805</v>
      </c>
      <c r="D7" s="18" t="n">
        <f aca="false">D5*D6</f>
        <v>2366.4717972</v>
      </c>
      <c r="E7" s="18" t="n">
        <f aca="false">E5*E6</f>
        <v>2279.235893752</v>
      </c>
      <c r="F7" s="18" t="n">
        <f aca="false">F5*F6</f>
        <v>2276.91893233435</v>
      </c>
      <c r="G7" s="18" t="n">
        <f aca="false">G5*G6</f>
        <v>2177.38798069116</v>
      </c>
    </row>
    <row r="8" customFormat="false" ht="15" hidden="false" customHeight="false" outlineLevel="0" collapsed="false">
      <c r="A8" s="5" t="s">
        <v>178</v>
      </c>
      <c r="B8" s="23" t="n">
        <f aca="false">B6/2</f>
        <v>0.34</v>
      </c>
      <c r="C8" s="23" t="n">
        <f aca="false">B6+1-0.5</f>
        <v>1.18</v>
      </c>
      <c r="D8" s="23" t="n">
        <f aca="false">B6+2-0.5</f>
        <v>2.18</v>
      </c>
      <c r="E8" s="23" t="n">
        <f aca="false">B6+3-0.5</f>
        <v>3.18</v>
      </c>
      <c r="F8" s="23" t="n">
        <f aca="false">B6+4-0.5</f>
        <v>4.18</v>
      </c>
      <c r="G8" s="23" t="n">
        <f aca="false">B6+5-0.5</f>
        <v>5.18</v>
      </c>
    </row>
    <row r="9" customFormat="false" ht="15" hidden="false" customHeight="false" outlineLevel="0" collapsed="false">
      <c r="A9" s="5" t="s">
        <v>179</v>
      </c>
      <c r="B9" s="26" t="n">
        <f aca="false">1/(1+WACC!$B$18)^B8</f>
        <v>0.975566771362669</v>
      </c>
      <c r="C9" s="26" t="n">
        <f aca="false">1/(1+WACC!$B$18)^C8</f>
        <v>0.917731140989798</v>
      </c>
      <c r="D9" s="26" t="n">
        <f aca="false">1/(1+WACC!$B$18)^D8</f>
        <v>0.85333273928035</v>
      </c>
      <c r="E9" s="26" t="n">
        <f aca="false">1/(1+WACC!$B$18)^E8</f>
        <v>0.793453258153959</v>
      </c>
      <c r="F9" s="26" t="n">
        <f aca="false">1/(1+WACC!$B$18)^F8</f>
        <v>0.737775599007338</v>
      </c>
      <c r="G9" s="26" t="n">
        <f aca="false">1/(1+WACC!$B$18)^G8</f>
        <v>0.68600491446343</v>
      </c>
    </row>
    <row r="10" customFormat="false" ht="15" hidden="false" customHeight="false" outlineLevel="0" collapsed="false">
      <c r="A10" s="4" t="s">
        <v>180</v>
      </c>
      <c r="B10" s="11" t="n">
        <f aca="false">B7*B9</f>
        <v>1638.64155542928</v>
      </c>
      <c r="C10" s="11" t="n">
        <f aca="false">C7*C9</f>
        <v>2173.03871530556</v>
      </c>
      <c r="D10" s="11" t="n">
        <f aca="false">D7*D9</f>
        <v>2019.38786113437</v>
      </c>
      <c r="E10" s="11" t="n">
        <f aca="false">E7*E9</f>
        <v>1808.46714599897</v>
      </c>
      <c r="F10" s="11" t="n">
        <f aca="false">F7*F9</f>
        <v>1679.85522919412</v>
      </c>
      <c r="G10" s="11" t="n">
        <f aca="false">G7*G9</f>
        <v>1493.69885544774</v>
      </c>
    </row>
    <row r="12" customFormat="false" ht="15" hidden="false" customHeight="false" outlineLevel="0" collapsed="false">
      <c r="A12" s="4" t="s">
        <v>181</v>
      </c>
    </row>
    <row r="13" customFormat="false" ht="15" hidden="false" customHeight="false" outlineLevel="0" collapsed="false">
      <c r="A13" s="5" t="s">
        <v>182</v>
      </c>
      <c r="B13" s="24" t="n">
        <f aca="false">Inputs!$B$80</f>
        <v>0.01</v>
      </c>
    </row>
    <row r="14" customFormat="false" ht="15" hidden="false" customHeight="false" outlineLevel="0" collapsed="false">
      <c r="A14" s="5" t="s">
        <v>183</v>
      </c>
      <c r="B14" s="18" t="n">
        <f aca="false">G5*(1+B13)</f>
        <v>2199.16186049807</v>
      </c>
    </row>
    <row r="15" customFormat="false" ht="15" hidden="false" customHeight="false" outlineLevel="0" collapsed="false">
      <c r="A15" s="5" t="s">
        <v>184</v>
      </c>
      <c r="B15" s="18" t="n">
        <f aca="false">B14/(WACC!B18-B13)</f>
        <v>33591.9505611496</v>
      </c>
    </row>
    <row r="16" customFormat="false" ht="15" hidden="false" customHeight="false" outlineLevel="0" collapsed="false">
      <c r="A16" s="5" t="s">
        <v>185</v>
      </c>
      <c r="B16" s="26" t="n">
        <f aca="false">1/(1+WACC!B18)^(B6+5)</f>
        <v>0.661498245650096</v>
      </c>
    </row>
    <row r="17" customFormat="false" ht="15" hidden="false" customHeight="false" outlineLevel="0" collapsed="false">
      <c r="A17" s="5" t="s">
        <v>186</v>
      </c>
      <c r="B17" s="18" t="n">
        <f aca="false">B15*B16</f>
        <v>22221.0163641652</v>
      </c>
    </row>
    <row r="18" customFormat="false" ht="15" hidden="false" customHeight="false" outlineLevel="0" collapsed="false">
      <c r="A18" s="5" t="s">
        <v>187</v>
      </c>
      <c r="B18" s="27" t="n">
        <f aca="false">B15/Forecast!G13</f>
        <v>9.5161855642356</v>
      </c>
    </row>
    <row r="20" customFormat="false" ht="15" hidden="false" customHeight="false" outlineLevel="0" collapsed="false">
      <c r="A20" s="4" t="s">
        <v>188</v>
      </c>
    </row>
    <row r="21" customFormat="false" ht="15" hidden="false" customHeight="false" outlineLevel="0" collapsed="false">
      <c r="A21" s="5" t="s">
        <v>189</v>
      </c>
      <c r="B21" s="28" t="n">
        <f aca="false">Inputs!$B$81</f>
        <v>7</v>
      </c>
    </row>
    <row r="22" customFormat="false" ht="15" hidden="false" customHeight="false" outlineLevel="0" collapsed="false">
      <c r="A22" s="5" t="s">
        <v>184</v>
      </c>
      <c r="B22" s="18" t="n">
        <f aca="false">B21*Forecast!G13</f>
        <v>24709.864298126</v>
      </c>
    </row>
    <row r="23" customFormat="false" ht="15" hidden="false" customHeight="false" outlineLevel="0" collapsed="false">
      <c r="A23" s="5" t="s">
        <v>186</v>
      </c>
      <c r="B23" s="18" t="n">
        <f aca="false">B22*B16</f>
        <v>16345.5318834623</v>
      </c>
    </row>
    <row r="24" customFormat="false" ht="15" hidden="false" customHeight="false" outlineLevel="0" collapsed="false">
      <c r="A24" s="5" t="s">
        <v>190</v>
      </c>
      <c r="B24" s="21" t="n">
        <f aca="false">(B22*WACC!B18-G5)/(B22+G5)</f>
        <v>-0.0116267140100336</v>
      </c>
    </row>
    <row r="26" customFormat="false" ht="15" hidden="false" customHeight="false" outlineLevel="0" collapsed="false">
      <c r="A26" s="7" t="s">
        <v>191</v>
      </c>
      <c r="B26" s="8" t="s">
        <v>192</v>
      </c>
      <c r="C26" s="8" t="s">
        <v>189</v>
      </c>
      <c r="D26" s="8"/>
      <c r="E26" s="8"/>
      <c r="F26" s="8"/>
      <c r="G26" s="8"/>
      <c r="H26" s="8" t="s">
        <v>39</v>
      </c>
    </row>
    <row r="27" customFormat="false" ht="15" hidden="false" customHeight="false" outlineLevel="0" collapsed="false">
      <c r="A27" s="5" t="s">
        <v>193</v>
      </c>
      <c r="B27" s="18" t="n">
        <f aca="false">SUM(B10:G10)</f>
        <v>10813.08936251</v>
      </c>
      <c r="C27" s="18" t="n">
        <f aca="false">B27</f>
        <v>10813.08936251</v>
      </c>
    </row>
    <row r="28" customFormat="false" ht="15" hidden="false" customHeight="false" outlineLevel="0" collapsed="false">
      <c r="A28" s="5" t="s">
        <v>186</v>
      </c>
      <c r="B28" s="18" t="n">
        <f aca="false">B17</f>
        <v>22221.0163641652</v>
      </c>
      <c r="C28" s="18" t="n">
        <f aca="false">B23</f>
        <v>16345.5318834623</v>
      </c>
    </row>
    <row r="29" customFormat="false" ht="15" hidden="false" customHeight="false" outlineLevel="0" collapsed="false">
      <c r="A29" s="19" t="s">
        <v>194</v>
      </c>
      <c r="B29" s="20" t="n">
        <f aca="false">B27+B28</f>
        <v>33034.1057266753</v>
      </c>
      <c r="C29" s="20" t="n">
        <f aca="false">C27+C28</f>
        <v>27158.6212459723</v>
      </c>
    </row>
    <row r="30" customFormat="false" ht="15" hidden="false" customHeight="false" outlineLevel="0" collapsed="false">
      <c r="A30" s="5" t="s">
        <v>195</v>
      </c>
      <c r="B30" s="21" t="n">
        <f aca="false">B28/B29</f>
        <v>0.672668924293646</v>
      </c>
      <c r="C30" s="21" t="n">
        <f aca="false">C28/C29</f>
        <v>0.601854259662992</v>
      </c>
    </row>
    <row r="31" customFormat="false" ht="15" hidden="false" customHeight="false" outlineLevel="0" collapsed="false">
      <c r="A31" s="5" t="s">
        <v>196</v>
      </c>
      <c r="B31" s="17" t="n">
        <f aca="false">-WACC!B9</f>
        <v>-2401</v>
      </c>
      <c r="C31" s="18" t="n">
        <f aca="false">B31</f>
        <v>-2401</v>
      </c>
    </row>
    <row r="32" customFormat="false" ht="15" hidden="false" customHeight="false" outlineLevel="0" collapsed="false">
      <c r="A32" s="5" t="s">
        <v>197</v>
      </c>
      <c r="B32" s="17" t="n">
        <f aca="false">-Inputs!$B$78</f>
        <v>-0</v>
      </c>
      <c r="C32" s="18" t="n">
        <f aca="false">B32</f>
        <v>-0</v>
      </c>
    </row>
    <row r="33" customFormat="false" ht="15" hidden="false" customHeight="false" outlineLevel="0" collapsed="false">
      <c r="A33" s="19" t="s">
        <v>198</v>
      </c>
      <c r="B33" s="20" t="n">
        <f aca="false">B29+B31+B32</f>
        <v>30633.1057266753</v>
      </c>
      <c r="C33" s="20" t="n">
        <f aca="false">C29+C31+C32</f>
        <v>24757.6212459723</v>
      </c>
    </row>
    <row r="34" customFormat="false" ht="15" hidden="false" customHeight="false" outlineLevel="0" collapsed="false">
      <c r="A34" s="5" t="s">
        <v>199</v>
      </c>
      <c r="B34" s="17" t="n">
        <f aca="false">Inputs!$B$75</f>
        <v>419.65</v>
      </c>
      <c r="C34" s="18" t="n">
        <f aca="false">B34</f>
        <v>419.65</v>
      </c>
    </row>
    <row r="35" customFormat="false" ht="15" hidden="false" customHeight="false" outlineLevel="0" collapsed="false">
      <c r="A35" s="19" t="s">
        <v>200</v>
      </c>
      <c r="B35" s="29" t="n">
        <f aca="false">B33/B34</f>
        <v>72.9967966797933</v>
      </c>
      <c r="C35" s="29" t="n">
        <f aca="false">C33/C34</f>
        <v>58.9958804860534</v>
      </c>
      <c r="H35" s="10" t="s">
        <v>201</v>
      </c>
    </row>
    <row r="36" customFormat="false" ht="15" hidden="false" customHeight="false" outlineLevel="0" collapsed="false">
      <c r="A36" s="5" t="s">
        <v>202</v>
      </c>
      <c r="B36" s="30" t="n">
        <f aca="false">Inputs!$B$74</f>
        <v>68.27</v>
      </c>
      <c r="C36" s="31" t="n">
        <f aca="false">B36</f>
        <v>68.27</v>
      </c>
    </row>
    <row r="37" customFormat="false" ht="15" hidden="false" customHeight="false" outlineLevel="0" collapsed="false">
      <c r="A37" s="5" t="s">
        <v>203</v>
      </c>
      <c r="B37" s="21" t="n">
        <f aca="false">B35/B36-1</f>
        <v>0.0692368050357888</v>
      </c>
      <c r="C37" s="21" t="n">
        <f aca="false">C35/C36-1</f>
        <v>-0.135844727024265</v>
      </c>
    </row>
    <row r="38" customFormat="false" ht="15" hidden="false" customHeight="false" outlineLevel="0" collapsed="false">
      <c r="A38" s="5" t="s">
        <v>204</v>
      </c>
      <c r="B38" s="18" t="n">
        <f aca="false">WACC!B8+WACC!B9+Inputs!$B$78</f>
        <v>31050.5055</v>
      </c>
    </row>
    <row r="39" customFormat="false" ht="15" hidden="false" customHeight="false" outlineLevel="0" collapsed="false">
      <c r="A39" s="5" t="s">
        <v>205</v>
      </c>
      <c r="B39" s="27" t="n">
        <f aca="false">B38/Forecast!B13</f>
        <v>7.92913827885598</v>
      </c>
    </row>
    <row r="40" customFormat="false" ht="15" hidden="false" customHeight="false" outlineLevel="0" collapsed="false">
      <c r="A40" s="5" t="s">
        <v>206</v>
      </c>
      <c r="B40" s="27" t="n">
        <f aca="false">B29/Forecast!B13</f>
        <v>8.43567561968214</v>
      </c>
      <c r="C40" s="27" t="n">
        <f aca="false">C29/Forecast!B13</f>
        <v>6.93529653880805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8" min="2" style="0" width="11"/>
  </cols>
  <sheetData>
    <row r="1" customFormat="false" ht="17.35" hidden="false" customHeight="false" outlineLevel="0" collapsed="false">
      <c r="A1" s="1" t="s">
        <v>207</v>
      </c>
    </row>
    <row r="2" customFormat="false" ht="15" hidden="false" customHeight="false" outlineLevel="0" collapsed="false">
      <c r="A2" s="2" t="s">
        <v>1</v>
      </c>
    </row>
    <row r="4" customFormat="false" ht="15" hidden="false" customHeight="false" outlineLevel="0" collapsed="false">
      <c r="A4" s="4" t="s">
        <v>208</v>
      </c>
    </row>
    <row r="5" customFormat="false" ht="15" hidden="false" customHeight="false" outlineLevel="0" collapsed="false">
      <c r="A5" s="4" t="s">
        <v>209</v>
      </c>
      <c r="B5" s="12" t="n">
        <v>0</v>
      </c>
      <c r="C5" s="12" t="n">
        <v>0.005</v>
      </c>
      <c r="D5" s="12" t="n">
        <v>0.01</v>
      </c>
      <c r="E5" s="12" t="n">
        <v>0.015</v>
      </c>
      <c r="F5" s="12" t="n">
        <v>0.02</v>
      </c>
    </row>
    <row r="6" customFormat="false" ht="15" hidden="false" customHeight="false" outlineLevel="0" collapsed="false">
      <c r="A6" s="12" t="n">
        <v>0.07</v>
      </c>
      <c r="B6" s="31" t="n">
        <f aca="false">((SUMPRODUCT(DCF!$B$7:$G$7/(1+$A6)^DCF!$B$8:$G$8)+DCF!$G$5*(1+B$5)/($A6-B$5)/(1+$A6)^(DCF!$B$6+5))+DCF!$B$31+DCF!$B$32)/DCF!$B$34</f>
        <v>70.861086385467</v>
      </c>
      <c r="C6" s="31" t="n">
        <f aca="false">((SUMPRODUCT(DCF!$B$7:$G$7/(1+$A6)^DCF!$B$8:$G$8)+DCF!$G$5*(1+C$5)/($A6-C$5)/(1+$A6)^(DCF!$B$6+5))+DCF!$B$31+DCF!$B$32)/DCF!$B$34</f>
        <v>75.0153219739404</v>
      </c>
      <c r="D6" s="31" t="n">
        <f aca="false">((SUMPRODUCT(DCF!$B$7:$G$7/(1+$A6)^DCF!$B$8:$G$8)+DCF!$G$5*(1+D$5)/($A6-D$5)/(1+$A6)^(DCF!$B$6+5))+DCF!$B$31+DCF!$B$32)/DCF!$B$34</f>
        <v>79.8619301604927</v>
      </c>
      <c r="E6" s="31" t="n">
        <f aca="false">((SUMPRODUCT(DCF!$B$7:$G$7/(1+$A6)^DCF!$B$8:$G$8)+DCF!$G$5*(1+E$5)/($A6-E$5)/(1+$A6)^(DCF!$B$6+5))+DCF!$B$31+DCF!$B$32)/DCF!$B$34</f>
        <v>85.589739835509</v>
      </c>
      <c r="F6" s="31" t="n">
        <f aca="false">((SUMPRODUCT(DCF!$B$7:$G$7/(1+$A6)^DCF!$B$8:$G$8)+DCF!$G$5*(1+F$5)/($A6-F$5)/(1+$A6)^(DCF!$B$6+5))+DCF!$B$31+DCF!$B$32)/DCF!$B$34</f>
        <v>92.4631114455287</v>
      </c>
    </row>
    <row r="7" customFormat="false" ht="15" hidden="false" customHeight="false" outlineLevel="0" collapsed="false">
      <c r="A7" s="12" t="n">
        <v>0.075</v>
      </c>
      <c r="B7" s="31" t="n">
        <f aca="false">((SUMPRODUCT(DCF!$B$7:$G$7/(1+$A7)^DCF!$B$8:$G$8)+DCF!$G$5*(1+B$5)/($A7-B$5)/(1+$A7)^(DCF!$B$6+5))+DCF!$B$31+DCF!$B$32)/DCF!$B$34</f>
        <v>65.9507015136068</v>
      </c>
      <c r="C7" s="31" t="n">
        <f aca="false">((SUMPRODUCT(DCF!$B$7:$G$7/(1+$A7)^DCF!$B$8:$G$8)+DCF!$G$5*(1+C$5)/($A7-C$5)/(1+$A7)^(DCF!$B$6+5))+DCF!$B$31+DCF!$B$32)/DCF!$B$34</f>
        <v>69.4733368074067</v>
      </c>
      <c r="D7" s="31" t="n">
        <f aca="false">((SUMPRODUCT(DCF!$B$7:$G$7/(1+$A7)^DCF!$B$8:$G$8)+DCF!$G$5*(1+D$5)/($A7-D$5)/(1+$A7)^(DCF!$B$6+5))+DCF!$B$31+DCF!$B$32)/DCF!$B$34</f>
        <v>73.5379159925605</v>
      </c>
      <c r="E7" s="31" t="n">
        <f aca="false">((SUMPRODUCT(DCF!$B$7:$G$7/(1+$A7)^DCF!$B$8:$G$8)+DCF!$G$5*(1+E$5)/($A7-E$5)/(1+$A7)^(DCF!$B$6+5))+DCF!$B$31+DCF!$B$32)/DCF!$B$34</f>
        <v>78.2799250419065</v>
      </c>
      <c r="F7" s="31" t="n">
        <f aca="false">((SUMPRODUCT(DCF!$B$7:$G$7/(1+$A7)^DCF!$B$8:$G$8)+DCF!$G$5*(1+F$5)/($A7-F$5)/(1+$A7)^(DCF!$B$6+5))+DCF!$B$31+DCF!$B$32)/DCF!$B$34</f>
        <v>83.88411755477</v>
      </c>
    </row>
    <row r="8" customFormat="false" ht="15" hidden="false" customHeight="false" outlineLevel="0" collapsed="false">
      <c r="A8" s="12" t="n">
        <v>0.08</v>
      </c>
      <c r="B8" s="31" t="n">
        <f aca="false">((SUMPRODUCT(DCF!$B$7:$G$7/(1+$A8)^DCF!$B$8:$G$8)+DCF!$G$5*(1+B$5)/($A8-B$5)/(1+$A8)^(DCF!$B$6+5))+DCF!$B$31+DCF!$B$32)/DCF!$B$34</f>
        <v>61.6567431643326</v>
      </c>
      <c r="C8" s="31" t="n">
        <f aca="false">((SUMPRODUCT(DCF!$B$7:$G$7/(1+$A8)^DCF!$B$8:$G$8)+DCF!$G$5*(1+C$5)/($A8-C$5)/(1+$A8)^(DCF!$B$6+5))+DCF!$B$31+DCF!$B$32)/DCF!$B$34</f>
        <v>64.6728322987594</v>
      </c>
      <c r="D8" s="31" t="n">
        <f aca="false">((SUMPRODUCT(DCF!$B$7:$G$7/(1+$A8)^DCF!$B$8:$G$8)+DCF!$G$5*(1+D$5)/($A8-D$5)/(1+$A8)^(DCF!$B$6+5))+DCF!$B$31+DCF!$B$32)/DCF!$B$34</f>
        <v>68.1197913095328</v>
      </c>
      <c r="E8" s="31" t="n">
        <f aca="false">((SUMPRODUCT(DCF!$B$7:$G$7/(1+$A8)^DCF!$B$8:$G$8)+DCF!$G$5*(1+E$5)/($A8-E$5)/(1+$A8)^(DCF!$B$6+5))+DCF!$B$31+DCF!$B$32)/DCF!$B$34</f>
        <v>72.0970517065791</v>
      </c>
      <c r="F8" s="31" t="n">
        <f aca="false">((SUMPRODUCT(DCF!$B$7:$G$7/(1+$A8)^DCF!$B$8:$G$8)+DCF!$G$5*(1+F$5)/($A8-F$5)/(1+$A8)^(DCF!$B$6+5))+DCF!$B$31+DCF!$B$32)/DCF!$B$34</f>
        <v>76.7371888364665</v>
      </c>
    </row>
    <row r="9" customFormat="false" ht="15" hidden="false" customHeight="false" outlineLevel="0" collapsed="false">
      <c r="A9" s="12" t="n">
        <v>0.085</v>
      </c>
      <c r="B9" s="31" t="n">
        <f aca="false">((SUMPRODUCT(DCF!$B$7:$G$7/(1+$A9)^DCF!$B$8:$G$8)+DCF!$G$5*(1+B$5)/($A9-B$5)/(1+$A9)^(DCF!$B$6+5))+DCF!$B$31+DCF!$B$32)/DCF!$B$34</f>
        <v>57.8702563810299</v>
      </c>
      <c r="C9" s="31" t="n">
        <f aca="false">((SUMPRODUCT(DCF!$B$7:$G$7/(1+$A9)^DCF!$B$8:$G$8)+DCF!$G$5*(1+C$5)/($A9-C$5)/(1+$A9)^(DCF!$B$6+5))+DCF!$B$31+DCF!$B$32)/DCF!$B$34</f>
        <v>60.4746013548636</v>
      </c>
      <c r="D9" s="31" t="n">
        <f aca="false">((SUMPRODUCT(DCF!$B$7:$G$7/(1+$A9)^DCF!$B$8:$G$8)+DCF!$G$5*(1+D$5)/($A9-D$5)/(1+$A9)^(DCF!$B$6+5))+DCF!$B$31+DCF!$B$32)/DCF!$B$34</f>
        <v>63.4261923252084</v>
      </c>
      <c r="E9" s="31" t="n">
        <f aca="false">((SUMPRODUCT(DCF!$B$7:$G$7/(1+$A9)^DCF!$B$8:$G$8)+DCF!$G$5*(1+E$5)/($A9-E$5)/(1+$A9)^(DCF!$B$6+5))+DCF!$B$31+DCF!$B$32)/DCF!$B$34</f>
        <v>66.7994391484595</v>
      </c>
      <c r="F9" s="31" t="n">
        <f aca="false">((SUMPRODUCT(DCF!$B$7:$G$7/(1+$A9)^DCF!$B$8:$G$8)+DCF!$G$5*(1+F$5)/($A9-F$5)/(1+$A9)^(DCF!$B$6+5))+DCF!$B$31+DCF!$B$32)/DCF!$B$34</f>
        <v>70.6916470214417</v>
      </c>
    </row>
    <row r="10" customFormat="false" ht="15" hidden="false" customHeight="false" outlineLevel="0" collapsed="false">
      <c r="A10" s="12" t="n">
        <v>0.09</v>
      </c>
      <c r="B10" s="31" t="n">
        <f aca="false">((SUMPRODUCT(DCF!$B$7:$G$7/(1+$A10)^DCF!$B$8:$G$8)+DCF!$G$5*(1+B$5)/($A10-B$5)/(1+$A10)^(DCF!$B$6+5))+DCF!$B$31+DCF!$B$32)/DCF!$B$34</f>
        <v>54.5065072351095</v>
      </c>
      <c r="C10" s="31" t="n">
        <f aca="false">((SUMPRODUCT(DCF!$B$7:$G$7/(1+$A10)^DCF!$B$8:$G$8)+DCF!$G$5*(1+C$5)/($A10-C$5)/(1+$A10)^(DCF!$B$6+5))+DCF!$B$31+DCF!$B$32)/DCF!$B$34</f>
        <v>56.7722007033353</v>
      </c>
      <c r="D10" s="31" t="n">
        <f aca="false">((SUMPRODUCT(DCF!$B$7:$G$7/(1+$A10)^DCF!$B$8:$G$8)+DCF!$G$5*(1+D$5)/($A10-D$5)/(1+$A10)^(DCF!$B$6+5))+DCF!$B$31+DCF!$B$32)/DCF!$B$34</f>
        <v>59.3211058550895</v>
      </c>
      <c r="E10" s="31" t="n">
        <f aca="false">((SUMPRODUCT(DCF!$B$7:$G$7/(1+$A10)^DCF!$B$8:$G$8)+DCF!$G$5*(1+E$5)/($A10-E$5)/(1+$A10)^(DCF!$B$6+5))+DCF!$B$31+DCF!$B$32)/DCF!$B$34</f>
        <v>62.2098650270775</v>
      </c>
      <c r="F10" s="31" t="n">
        <f aca="false">((SUMPRODUCT(DCF!$B$7:$G$7/(1+$A10)^DCF!$B$8:$G$8)+DCF!$G$5*(1+F$5)/($A10-F$5)/(1+$A10)^(DCF!$B$6+5))+DCF!$B$31+DCF!$B$32)/DCF!$B$34</f>
        <v>65.5113040807781</v>
      </c>
    </row>
    <row r="11" customFormat="false" ht="15" hidden="false" customHeight="false" outlineLevel="0" collapsed="false">
      <c r="A11" s="12" t="n">
        <v>0.095</v>
      </c>
      <c r="B11" s="31" t="n">
        <f aca="false">((SUMPRODUCT(DCF!$B$7:$G$7/(1+$A11)^DCF!$B$8:$G$8)+DCF!$G$5*(1+B$5)/($A11-B$5)/(1+$A11)^(DCF!$B$6+5))+DCF!$B$31+DCF!$B$32)/DCF!$B$34</f>
        <v>51.4986084275651</v>
      </c>
      <c r="C11" s="31" t="n">
        <f aca="false">((SUMPRODUCT(DCF!$B$7:$G$7/(1+$A11)^DCF!$B$8:$G$8)+DCF!$G$5*(1+C$5)/($A11-C$5)/(1+$A11)^(DCF!$B$6+5))+DCF!$B$31+DCF!$B$32)/DCF!$B$34</f>
        <v>53.4828493660622</v>
      </c>
      <c r="D11" s="31" t="n">
        <f aca="false">((SUMPRODUCT(DCF!$B$7:$G$7/(1+$A11)^DCF!$B$8:$G$8)+DCF!$G$5*(1+D$5)/($A11-D$5)/(1+$A11)^(DCF!$B$6+5))+DCF!$B$31+DCF!$B$32)/DCF!$B$34</f>
        <v>55.7005304149707</v>
      </c>
      <c r="E11" s="31" t="n">
        <f aca="false">((SUMPRODUCT(DCF!$B$7:$G$7/(1+$A11)^DCF!$B$8:$G$8)+DCF!$G$5*(1+E$5)/($A11-E$5)/(1+$A11)^(DCF!$B$6+5))+DCF!$B$31+DCF!$B$32)/DCF!$B$34</f>
        <v>58.1954215949928</v>
      </c>
      <c r="F11" s="31" t="n">
        <f aca="false">((SUMPRODUCT(DCF!$B$7:$G$7/(1+$A11)^DCF!$B$8:$G$8)+DCF!$G$5*(1+F$5)/($A11-F$5)/(1+$A11)^(DCF!$B$6+5))+DCF!$B$31+DCF!$B$32)/DCF!$B$34</f>
        <v>61.0229649323511</v>
      </c>
    </row>
    <row r="12" customFormat="false" ht="15" hidden="false" customHeight="false" outlineLevel="0" collapsed="false">
      <c r="A12" s="12" t="n">
        <v>0.1</v>
      </c>
      <c r="B12" s="31" t="n">
        <f aca="false">((SUMPRODUCT(DCF!$B$7:$G$7/(1+$A12)^DCF!$B$8:$G$8)+DCF!$G$5*(1+B$5)/($A12-B$5)/(1+$A12)^(DCF!$B$6+5))+DCF!$B$31+DCF!$B$32)/DCF!$B$34</f>
        <v>48.7930572333134</v>
      </c>
      <c r="C12" s="31" t="n">
        <f aca="false">((SUMPRODUCT(DCF!$B$7:$G$7/(1+$A12)^DCF!$B$8:$G$8)+DCF!$G$5*(1+C$5)/($A12-C$5)/(1+$A12)^(DCF!$B$6+5))+DCF!$B$31+DCF!$B$32)/DCF!$B$34</f>
        <v>50.5412013233698</v>
      </c>
      <c r="D12" s="31" t="n">
        <f aca="false">((SUMPRODUCT(DCF!$B$7:$G$7/(1+$A12)^DCF!$B$8:$G$8)+DCF!$G$5*(1+D$5)/($A12-D$5)/(1+$A12)^(DCF!$B$6+5))+DCF!$B$31+DCF!$B$32)/DCF!$B$34</f>
        <v>52.4835836456547</v>
      </c>
      <c r="E12" s="31" t="n">
        <f aca="false">((SUMPRODUCT(DCF!$B$7:$G$7/(1+$A12)^DCF!$B$8:$G$8)+DCF!$G$5*(1+E$5)/($A12-E$5)/(1+$A12)^(DCF!$B$6+5))+DCF!$B$31+DCF!$B$32)/DCF!$B$34</f>
        <v>54.6544815352672</v>
      </c>
      <c r="F12" s="31" t="n">
        <f aca="false">((SUMPRODUCT(DCF!$B$7:$G$7/(1+$A12)^DCF!$B$8:$G$8)+DCF!$G$5*(1+F$5)/($A12-F$5)/(1+$A12)^(DCF!$B$6+5))+DCF!$B$31+DCF!$B$32)/DCF!$B$34</f>
        <v>57.0967416610812</v>
      </c>
    </row>
    <row r="15" customFormat="false" ht="15" hidden="false" customHeight="false" outlineLevel="0" collapsed="false">
      <c r="A15" s="4" t="s">
        <v>210</v>
      </c>
    </row>
    <row r="16" customFormat="false" ht="15" hidden="false" customHeight="false" outlineLevel="0" collapsed="false">
      <c r="A16" s="4" t="s">
        <v>211</v>
      </c>
      <c r="B16" s="16" t="n">
        <v>5</v>
      </c>
      <c r="C16" s="16" t="n">
        <v>6</v>
      </c>
      <c r="D16" s="16" t="n">
        <v>7</v>
      </c>
      <c r="E16" s="16" t="n">
        <v>8</v>
      </c>
      <c r="F16" s="16" t="n">
        <v>9</v>
      </c>
    </row>
    <row r="17" customFormat="false" ht="15" hidden="false" customHeight="false" outlineLevel="0" collapsed="false">
      <c r="A17" s="12" t="n">
        <v>0.07</v>
      </c>
      <c r="B17" s="31" t="n">
        <f aca="false">((SUMPRODUCT(DCF!$B$7:$G$7/(1+$A17)^DCF!$B$8:$G$8)+B$16*Forecast!$G$13/(1+$A17)^(DCF!$B$6+5))+DCF!$B$31+DCF!$B$32)/DCF!$B$34</f>
        <v>49.0278931380336</v>
      </c>
      <c r="C17" s="31" t="n">
        <f aca="false">((SUMPRODUCT(DCF!$B$7:$G$7/(1+$A17)^DCF!$B$8:$G$8)+C$16*Forecast!$G$13/(1+$A17)^(DCF!$B$6+5))+DCF!$B$31+DCF!$B$32)/DCF!$B$34</f>
        <v>54.7556587222206</v>
      </c>
      <c r="D17" s="31" t="n">
        <f aca="false">((SUMPRODUCT(DCF!$B$7:$G$7/(1+$A17)^DCF!$B$8:$G$8)+D$16*Forecast!$G$13/(1+$A17)^(DCF!$B$6+5))+DCF!$B$31+DCF!$B$32)/DCF!$B$34</f>
        <v>60.4834243064076</v>
      </c>
      <c r="E17" s="31" t="n">
        <f aca="false">((SUMPRODUCT(DCF!$B$7:$G$7/(1+$A17)^DCF!$B$8:$G$8)+E$16*Forecast!$G$13/(1+$A17)^(DCF!$B$6+5))+DCF!$B$31+DCF!$B$32)/DCF!$B$34</f>
        <v>66.2111898905946</v>
      </c>
      <c r="F17" s="31" t="n">
        <f aca="false">((SUMPRODUCT(DCF!$B$7:$G$7/(1+$A17)^DCF!$B$8:$G$8)+F$16*Forecast!$G$13/(1+$A17)^(DCF!$B$6+5))+DCF!$B$31+DCF!$B$32)/DCF!$B$34</f>
        <v>71.9389554747816</v>
      </c>
    </row>
    <row r="18" customFormat="false" ht="15" hidden="false" customHeight="false" outlineLevel="0" collapsed="false">
      <c r="A18" s="12" t="n">
        <v>0.075</v>
      </c>
      <c r="B18" s="31" t="n">
        <f aca="false">((SUMPRODUCT(DCF!$B$7:$G$7/(1+$A18)^DCF!$B$8:$G$8)+B$16*Forecast!$G$13/(1+$A18)^(DCF!$B$6+5))+DCF!$B$31+DCF!$B$32)/DCF!$B$34</f>
        <v>47.9649387559852</v>
      </c>
      <c r="C18" s="31" t="n">
        <f aca="false">((SUMPRODUCT(DCF!$B$7:$G$7/(1+$A18)^DCF!$B$8:$G$8)+C$16*Forecast!$G$13/(1+$A18)^(DCF!$B$6+5))+DCF!$B$31+DCF!$B$32)/DCF!$B$34</f>
        <v>53.5430223185443</v>
      </c>
      <c r="D18" s="31" t="n">
        <f aca="false">((SUMPRODUCT(DCF!$B$7:$G$7/(1+$A18)^DCF!$B$8:$G$8)+D$16*Forecast!$G$13/(1+$A18)^(DCF!$B$6+5))+DCF!$B$31+DCF!$B$32)/DCF!$B$34</f>
        <v>59.1211058811034</v>
      </c>
      <c r="E18" s="31" t="n">
        <f aca="false">((SUMPRODUCT(DCF!$B$7:$G$7/(1+$A18)^DCF!$B$8:$G$8)+E$16*Forecast!$G$13/(1+$A18)^(DCF!$B$6+5))+DCF!$B$31+DCF!$B$32)/DCF!$B$34</f>
        <v>64.6991894436626</v>
      </c>
      <c r="F18" s="31" t="n">
        <f aca="false">((SUMPRODUCT(DCF!$B$7:$G$7/(1+$A18)^DCF!$B$8:$G$8)+F$16*Forecast!$G$13/(1+$A18)^(DCF!$B$6+5))+DCF!$B$31+DCF!$B$32)/DCF!$B$34</f>
        <v>70.2772730062217</v>
      </c>
    </row>
    <row r="19" customFormat="false" ht="15" hidden="false" customHeight="false" outlineLevel="0" collapsed="false">
      <c r="A19" s="12" t="n">
        <v>0.08</v>
      </c>
      <c r="B19" s="31" t="n">
        <f aca="false">((SUMPRODUCT(DCF!$B$7:$G$7/(1+$A19)^DCF!$B$8:$G$8)+B$16*Forecast!$G$13/(1+$A19)^(DCF!$B$6+5))+DCF!$B$31+DCF!$B$32)/DCF!$B$34</f>
        <v>46.9315197634118</v>
      </c>
      <c r="C19" s="31" t="n">
        <f aca="false">((SUMPRODUCT(DCF!$B$7:$G$7/(1+$A19)^DCF!$B$8:$G$8)+C$16*Forecast!$G$13/(1+$A19)^(DCF!$B$6+5))+DCF!$B$31+DCF!$B$32)/DCF!$B$34</f>
        <v>52.3645004566354</v>
      </c>
      <c r="D19" s="31" t="n">
        <f aca="false">((SUMPRODUCT(DCF!$B$7:$G$7/(1+$A19)^DCF!$B$8:$G$8)+D$16*Forecast!$G$13/(1+$A19)^(DCF!$B$6+5))+DCF!$B$31+DCF!$B$32)/DCF!$B$34</f>
        <v>57.7974811498589</v>
      </c>
      <c r="E19" s="31" t="n">
        <f aca="false">((SUMPRODUCT(DCF!$B$7:$G$7/(1+$A19)^DCF!$B$8:$G$8)+E$16*Forecast!$G$13/(1+$A19)^(DCF!$B$6+5))+DCF!$B$31+DCF!$B$32)/DCF!$B$34</f>
        <v>63.2304618430824</v>
      </c>
      <c r="F19" s="31" t="n">
        <f aca="false">((SUMPRODUCT(DCF!$B$7:$G$7/(1+$A19)^DCF!$B$8:$G$8)+F$16*Forecast!$G$13/(1+$A19)^(DCF!$B$6+5))+DCF!$B$31+DCF!$B$32)/DCF!$B$34</f>
        <v>68.6634425363059</v>
      </c>
    </row>
    <row r="20" customFormat="false" ht="15" hidden="false" customHeight="false" outlineLevel="0" collapsed="false">
      <c r="A20" s="12" t="n">
        <v>0.085</v>
      </c>
      <c r="B20" s="31" t="n">
        <f aca="false">((SUMPRODUCT(DCF!$B$7:$G$7/(1+$A20)^DCF!$B$8:$G$8)+B$16*Forecast!$G$13/(1+$A20)^(DCF!$B$6+5))+DCF!$B$31+DCF!$B$32)/DCF!$B$34</f>
        <v>45.9266524723573</v>
      </c>
      <c r="C20" s="31" t="n">
        <f aca="false">((SUMPRODUCT(DCF!$B$7:$G$7/(1+$A20)^DCF!$B$8:$G$8)+C$16*Forecast!$G$13/(1+$A20)^(DCF!$B$6+5))+DCF!$B$31+DCF!$B$32)/DCF!$B$34</f>
        <v>51.2189491249708</v>
      </c>
      <c r="D20" s="31" t="n">
        <f aca="false">((SUMPRODUCT(DCF!$B$7:$G$7/(1+$A20)^DCF!$B$8:$G$8)+D$16*Forecast!$G$13/(1+$A20)^(DCF!$B$6+5))+DCF!$B$31+DCF!$B$32)/DCF!$B$34</f>
        <v>56.5112457775843</v>
      </c>
      <c r="E20" s="31" t="n">
        <f aca="false">((SUMPRODUCT(DCF!$B$7:$G$7/(1+$A20)^DCF!$B$8:$G$8)+E$16*Forecast!$G$13/(1+$A20)^(DCF!$B$6+5))+DCF!$B$31+DCF!$B$32)/DCF!$B$34</f>
        <v>61.8035424301978</v>
      </c>
      <c r="F20" s="31" t="n">
        <f aca="false">((SUMPRODUCT(DCF!$B$7:$G$7/(1+$A20)^DCF!$B$8:$G$8)+F$16*Forecast!$G$13/(1+$A20)^(DCF!$B$6+5))+DCF!$B$31+DCF!$B$32)/DCF!$B$34</f>
        <v>67.0958390828113</v>
      </c>
    </row>
    <row r="21" customFormat="false" ht="15" hidden="false" customHeight="false" outlineLevel="0" collapsed="false">
      <c r="A21" s="12" t="n">
        <v>0.09</v>
      </c>
      <c r="B21" s="31" t="n">
        <f aca="false">((SUMPRODUCT(DCF!$B$7:$G$7/(1+$A21)^DCF!$B$8:$G$8)+B$16*Forecast!$G$13/(1+$A21)^(DCF!$B$6+5))+DCF!$B$31+DCF!$B$32)/DCF!$B$34</f>
        <v>44.9493907642001</v>
      </c>
      <c r="C21" s="31" t="n">
        <f aca="false">((SUMPRODUCT(DCF!$B$7:$G$7/(1+$A21)^DCF!$B$8:$G$8)+C$16*Forecast!$G$13/(1+$A21)^(DCF!$B$6+5))+DCF!$B$31+DCF!$B$32)/DCF!$B$34</f>
        <v>50.1052681965944</v>
      </c>
      <c r="D21" s="31" t="n">
        <f aca="false">((SUMPRODUCT(DCF!$B$7:$G$7/(1+$A21)^DCF!$B$8:$G$8)+D$16*Forecast!$G$13/(1+$A21)^(DCF!$B$6+5))+DCF!$B$31+DCF!$B$32)/DCF!$B$34</f>
        <v>55.2611456289887</v>
      </c>
      <c r="E21" s="31" t="n">
        <f aca="false">((SUMPRODUCT(DCF!$B$7:$G$7/(1+$A21)^DCF!$B$8:$G$8)+E$16*Forecast!$G$13/(1+$A21)^(DCF!$B$6+5))+DCF!$B$31+DCF!$B$32)/DCF!$B$34</f>
        <v>60.417023061383</v>
      </c>
      <c r="F21" s="31" t="n">
        <f aca="false">((SUMPRODUCT(DCF!$B$7:$G$7/(1+$A21)^DCF!$B$8:$G$8)+F$16*Forecast!$G$13/(1+$A21)^(DCF!$B$6+5))+DCF!$B$31+DCF!$B$32)/DCF!$B$34</f>
        <v>65.5729004937773</v>
      </c>
    </row>
    <row r="22" customFormat="false" ht="15" hidden="false" customHeight="false" outlineLevel="0" collapsed="false">
      <c r="A22" s="12" t="n">
        <v>0.095</v>
      </c>
      <c r="B22" s="31" t="n">
        <f aca="false">((SUMPRODUCT(DCF!$B$7:$G$7/(1+$A22)^DCF!$B$8:$G$8)+B$16*Forecast!$G$13/(1+$A22)^(DCF!$B$6+5))+DCF!$B$31+DCF!$B$32)/DCF!$B$34</f>
        <v>43.9988244810938</v>
      </c>
      <c r="C22" s="31" t="n">
        <f aca="false">((SUMPRODUCT(DCF!$B$7:$G$7/(1+$A22)^DCF!$B$8:$G$8)+C$16*Forecast!$G$13/(1+$A22)^(DCF!$B$6+5))+DCF!$B$31+DCF!$B$32)/DCF!$B$34</f>
        <v>49.0223995443926</v>
      </c>
      <c r="D22" s="31" t="n">
        <f aca="false">((SUMPRODUCT(DCF!$B$7:$G$7/(1+$A22)^DCF!$B$8:$G$8)+D$16*Forecast!$G$13/(1+$A22)^(DCF!$B$6+5))+DCF!$B$31+DCF!$B$32)/DCF!$B$34</f>
        <v>54.0459746076915</v>
      </c>
      <c r="E22" s="31" t="n">
        <f aca="false">((SUMPRODUCT(DCF!$B$7:$G$7/(1+$A22)^DCF!$B$8:$G$8)+E$16*Forecast!$G$13/(1+$A22)^(DCF!$B$6+5))+DCF!$B$31+DCF!$B$32)/DCF!$B$34</f>
        <v>59.0695496709904</v>
      </c>
      <c r="F22" s="31" t="n">
        <f aca="false">((SUMPRODUCT(DCF!$B$7:$G$7/(1+$A22)^DCF!$B$8:$G$8)+F$16*Forecast!$G$13/(1+$A22)^(DCF!$B$6+5))+DCF!$B$31+DCF!$B$32)/DCF!$B$34</f>
        <v>64.0931247342892</v>
      </c>
    </row>
    <row r="23" customFormat="false" ht="15" hidden="false" customHeight="false" outlineLevel="0" collapsed="false">
      <c r="A23" s="12" t="n">
        <v>0.1</v>
      </c>
      <c r="B23" s="31" t="n">
        <f aca="false">((SUMPRODUCT(DCF!$B$7:$G$7/(1+$A23)^DCF!$B$8:$G$8)+B$16*Forecast!$G$13/(1+$A23)^(DCF!$B$6+5))+DCF!$B$31+DCF!$B$32)/DCF!$B$34</f>
        <v>43.0740778934813</v>
      </c>
      <c r="C23" s="31" t="n">
        <f aca="false">((SUMPRODUCT(DCF!$B$7:$G$7/(1+$A23)^DCF!$B$8:$G$8)+C$16*Forecast!$G$13/(1+$A23)^(DCF!$B$6+5))+DCF!$B$31+DCF!$B$32)/DCF!$B$34</f>
        <v>47.9693252457096</v>
      </c>
      <c r="D23" s="31" t="n">
        <f aca="false">((SUMPRODUCT(DCF!$B$7:$G$7/(1+$A23)^DCF!$B$8:$G$8)+D$16*Forecast!$G$13/(1+$A23)^(DCF!$B$6+5))+DCF!$B$31+DCF!$B$32)/DCF!$B$34</f>
        <v>52.8645725979379</v>
      </c>
      <c r="E23" s="31" t="n">
        <f aca="false">((SUMPRODUCT(DCF!$B$7:$G$7/(1+$A23)^DCF!$B$8:$G$8)+E$16*Forecast!$G$13/(1+$A23)^(DCF!$B$6+5))+DCF!$B$31+DCF!$B$32)/DCF!$B$34</f>
        <v>57.7598199501662</v>
      </c>
      <c r="F23" s="31" t="n">
        <f aca="false">((SUMPRODUCT(DCF!$B$7:$G$7/(1+$A23)^DCF!$B$8:$G$8)+F$16*Forecast!$G$13/(1+$A23)^(DCF!$B$6+5))+DCF!$B$31+DCF!$B$32)/DCF!$B$34</f>
        <v>62.6550673023945</v>
      </c>
    </row>
    <row r="26" customFormat="false" ht="15" hidden="false" customHeight="false" outlineLevel="0" collapsed="false">
      <c r="A26" s="4" t="s">
        <v>212</v>
      </c>
    </row>
    <row r="27" customFormat="false" ht="15" hidden="false" customHeight="false" outlineLevel="0" collapsed="false">
      <c r="A27" s="4" t="s">
        <v>213</v>
      </c>
      <c r="B27" s="4" t="s">
        <v>214</v>
      </c>
      <c r="C27" s="4" t="s">
        <v>215</v>
      </c>
      <c r="D27" s="4" t="s">
        <v>216</v>
      </c>
    </row>
    <row r="28" customFormat="false" ht="15" hidden="false" customHeight="false" outlineLevel="0" collapsed="false">
      <c r="A28" s="5" t="s">
        <v>217</v>
      </c>
      <c r="B28" s="9" t="n">
        <v>3529.980614018</v>
      </c>
      <c r="C28" s="15" t="n">
        <v>72.9967966797933</v>
      </c>
      <c r="D28" s="15" t="n">
        <v>58.9958804860534</v>
      </c>
    </row>
    <row r="29" customFormat="false" ht="15" hidden="false" customHeight="false" outlineLevel="0" collapsed="false">
      <c r="A29" s="5" t="s">
        <v>218</v>
      </c>
      <c r="B29" s="9" t="n">
        <v>2557.9272221824</v>
      </c>
      <c r="C29" s="15" t="n">
        <v>47.408426760243</v>
      </c>
      <c r="D29" s="15" t="n">
        <v>41.9118926127594</v>
      </c>
    </row>
    <row r="30" customFormat="false" ht="15" hidden="false" customHeight="false" outlineLevel="0" collapsed="false">
      <c r="A30" s="5" t="s">
        <v>219</v>
      </c>
      <c r="B30" s="9" t="n">
        <v>4497.65314099884</v>
      </c>
      <c r="C30" s="15" t="n">
        <v>97.3586544736836</v>
      </c>
      <c r="D30" s="15" t="n">
        <v>75.0315404257356</v>
      </c>
    </row>
    <row r="32" customFormat="false" ht="15" hidden="false" customHeight="false" outlineLevel="0" collapsed="false">
      <c r="A32" s="5" t="s">
        <v>220</v>
      </c>
      <c r="B32" s="30" t="n">
        <f aca="false">Inputs!$B$74</f>
        <v>68.27</v>
      </c>
    </row>
    <row r="33" customFormat="false" ht="15" hidden="false" customHeight="false" outlineLevel="0" collapsed="false">
      <c r="A33" s="2" t="s">
        <v>221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0"/>
  </cols>
  <sheetData>
    <row r="1" customFormat="false" ht="17.35" hidden="false" customHeight="false" outlineLevel="0" collapsed="false">
      <c r="A1" s="1" t="s">
        <v>222</v>
      </c>
    </row>
    <row r="2" customFormat="false" ht="15" hidden="false" customHeight="false" outlineLevel="0" collapsed="false">
      <c r="A2" s="2" t="s">
        <v>1</v>
      </c>
    </row>
    <row r="4" customFormat="false" ht="15" hidden="false" customHeight="false" outlineLevel="0" collapsed="false">
      <c r="A4" s="7" t="s">
        <v>223</v>
      </c>
      <c r="B4" s="8" t="s">
        <v>13</v>
      </c>
    </row>
    <row r="5" customFormat="false" ht="15" hidden="false" customHeight="false" outlineLevel="0" collapsed="false">
      <c r="A5" s="5" t="n">
        <v>1</v>
      </c>
      <c r="B5" s="5" t="s">
        <v>224</v>
      </c>
    </row>
    <row r="6" customFormat="false" ht="15" hidden="false" customHeight="false" outlineLevel="0" collapsed="false">
      <c r="A6" s="5" t="n">
        <v>2</v>
      </c>
      <c r="B6" s="5" t="s">
        <v>225</v>
      </c>
    </row>
    <row r="7" customFormat="false" ht="15" hidden="false" customHeight="false" outlineLevel="0" collapsed="false">
      <c r="A7" s="5" t="n">
        <v>3</v>
      </c>
      <c r="B7" s="5" t="s">
        <v>226</v>
      </c>
    </row>
    <row r="8" customFormat="false" ht="15" hidden="false" customHeight="false" outlineLevel="0" collapsed="false">
      <c r="A8" s="5" t="n">
        <v>4</v>
      </c>
      <c r="B8" s="5" t="s">
        <v>227</v>
      </c>
    </row>
    <row r="9" customFormat="false" ht="15" hidden="false" customHeight="false" outlineLevel="0" collapsed="false">
      <c r="A9" s="5" t="n">
        <v>5</v>
      </c>
      <c r="B9" s="5" t="s">
        <v>228</v>
      </c>
    </row>
    <row r="10" customFormat="false" ht="15" hidden="false" customHeight="false" outlineLevel="0" collapsed="false">
      <c r="A10" s="5" t="n">
        <v>6</v>
      </c>
      <c r="B10" s="5" t="s">
        <v>229</v>
      </c>
    </row>
    <row r="11" customFormat="false" ht="15" hidden="false" customHeight="false" outlineLevel="0" collapsed="false">
      <c r="A11" s="5" t="n">
        <v>7</v>
      </c>
      <c r="B11" s="5" t="s">
        <v>230</v>
      </c>
    </row>
    <row r="12" customFormat="false" ht="15" hidden="false" customHeight="false" outlineLevel="0" collapsed="false">
      <c r="A12" s="5" t="n">
        <v>8</v>
      </c>
      <c r="B12" s="5" t="s">
        <v>231</v>
      </c>
    </row>
    <row r="13" customFormat="false" ht="15" hidden="false" customHeight="false" outlineLevel="0" collapsed="false">
      <c r="A13" s="5" t="n">
        <v>9</v>
      </c>
      <c r="B13" s="5" t="s">
        <v>232</v>
      </c>
    </row>
    <row r="15" customFormat="false" ht="15" hidden="false" customHeight="false" outlineLevel="0" collapsed="false">
      <c r="B15" s="2" t="s">
        <v>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2026-10-25T00:49:28Z</dcterms:created>
  <dc:creator>openpyxl</dc:creator>
  <dc:description/>
  <dc:language>en-US</dc:language>
  <cp:lastModifiedBy/>
  <dcterms:modified xsi:type="dcterms:W3CDTF">2026-10-25T00:49:28Z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