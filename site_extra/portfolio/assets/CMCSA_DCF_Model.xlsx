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Historical" sheetId="3" state="visible" r:id="rId5"/>
    <sheet name="Forecast" sheetId="4" state="visible" r:id="rId6"/>
    <sheet name="WACC" sheetId="5" state="visible" r:id="rId7"/>
    <sheet name="DCF" sheetId="6" state="visible" r:id="rId8"/>
    <sheet name="Sensitivity" sheetId="7" state="visible" r:id="rId9"/>
    <sheet name="Sourc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<sst xmlns="http://schemas.openxmlformats.org/spreadsheetml/2006/main" count="282" uniqueCount="231">
  <si>
    <t xml:space="preserve">Comcast Corporation DCF: read me first</t>
  </si>
  <si>
    <t xml:space="preserve">Comcast Corporation (NASDAQ: CMCSA). USD millions unless labelled. Blue = input, black = formula, green = link to another sheet. Same template as the Skydance model.</t>
  </si>
  <si>
    <t xml:space="preserve">What this is: a discounted cash flow model of Comcast on the same template as the Skydance model. The Versant cable networks spin closed January 2, 2026, so the base year is 2026 as now reported, without Versant.</t>
  </si>
  <si>
    <t xml:space="preserve">On June 29, 2026 Comcast announced a tax free spin of NBCUniversal and Sky, expected mid 2027. This model values the company as it is today, before that spin. Buybacks are suspended until it completes.</t>
  </si>
  <si>
    <t xml:space="preserve">Built October 24, 2026 from the Q3 2026 earnings release and 10-Q, the FY2025 10-K and market data as of October 23.</t>
  </si>
  <si>
    <t xml:space="preserve">Use: change blue cells on Inputs. Scenario switch in Inputs!C5. Not a recommendation.</t>
  </si>
  <si>
    <t xml:space="preserve">Biggest judgments: broadband subscriber losses against price, theme park softness, and whether 2.4 times leverage is the right capital structure for the discount rate.</t>
  </si>
  <si>
    <t xml:space="preserve">Inputs and scenarios</t>
  </si>
  <si>
    <t xml:space="preserve">Scenario selector</t>
  </si>
  <si>
    <t xml:space="preserve">Active scenario (1 Base, 2 Bear, 3 Bull)</t>
  </si>
  <si>
    <t xml:space="preserve">Active scenario name</t>
  </si>
  <si>
    <t xml:space="preserve">Base year FY2026E (USD m)</t>
  </si>
  <si>
    <t xml:space="preserve">Value</t>
  </si>
  <si>
    <t xml:space="preserve">Source</t>
  </si>
  <si>
    <t xml:space="preserve">Revenue 2026E</t>
  </si>
  <si>
    <t xml:space="preserve">Estimate: 9M 2026 90,695 [1] plus a Q4 in line with Q3</t>
  </si>
  <si>
    <t xml:space="preserve">Adjusted EBITDA 2026E</t>
  </si>
  <si>
    <t xml:space="preserve">Estimate: 9M 2026 25,938 [1] plus a Q4 of about 9,000</t>
  </si>
  <si>
    <t xml:space="preserve">D and A FY2025</t>
  </si>
  <si>
    <t xml:space="preserve">[2]</t>
  </si>
  <si>
    <t xml:space="preserve">Capex FY2025</t>
  </si>
  <si>
    <t xml:space="preserve">Free cash flow FY2025</t>
  </si>
  <si>
    <t xml:space="preserve">Free cash flow 9M 2026</t>
  </si>
  <si>
    <t xml:space="preserve">[1]</t>
  </si>
  <si>
    <t xml:space="preserve">Revenue build, 2026E (USD m)</t>
  </si>
  <si>
    <t xml:space="preserve">Connectivity and Platforms</t>
  </si>
  <si>
    <t xml:space="preserve">9M 2026 59,420 [1], annualized</t>
  </si>
  <si>
    <t xml:space="preserve">Content and Experiences, net of eliminations</t>
  </si>
  <si>
    <t xml:space="preserve">Media, Studios and Theme Parks less eliminations, 9M 2026 [1], annualized</t>
  </si>
  <si>
    <t xml:space="preserve">Total 2026E revenue</t>
  </si>
  <si>
    <t xml:space="preserve">Check: 9M 2026 reported revenue 90,695 [1]</t>
  </si>
  <si>
    <t xml:space="preserve">Drivers by scenario</t>
  </si>
  <si>
    <t xml:space="preserve">2026E</t>
  </si>
  <si>
    <t xml:space="preserve">2027E</t>
  </si>
  <si>
    <t xml:space="preserve">2028E</t>
  </si>
  <si>
    <t xml:space="preserve">2029E</t>
  </si>
  <si>
    <t xml:space="preserve">2030E</t>
  </si>
  <si>
    <t xml:space="preserve">2031E</t>
  </si>
  <si>
    <t xml:space="preserve">Note</t>
  </si>
  <si>
    <t xml:space="preserve">Connectivity growth: Base</t>
  </si>
  <si>
    <t xml:space="preserve">Residential connectivity revenue fell about 1 to 2 percent in 2026 on broadband subscriber losses, offset by price [1].</t>
  </si>
  <si>
    <t xml:space="preserve">Connectivity growth: Bear</t>
  </si>
  <si>
    <t xml:space="preserve">Connectivity growth: Bull</t>
  </si>
  <si>
    <t xml:space="preserve">Connectivity growth: ACTIVE</t>
  </si>
  <si>
    <t xml:space="preserve">Content and Experiences growth: Base</t>
  </si>
  <si>
    <t xml:space="preserve">Peacock turned profitable in Q2 and Q3 2026 with 48 million subscribers; theme parks EBITDA fell 17 percent in Q3 [1].</t>
  </si>
  <si>
    <t xml:space="preserve">Content and Experiences growth: Bear</t>
  </si>
  <si>
    <t xml:space="preserve">Content and Experiences growth: Bull</t>
  </si>
  <si>
    <t xml:space="preserve">Content and Experiences growth: ACTIVE</t>
  </si>
  <si>
    <t xml:space="preserve">Underlying EBITDA margin: Base</t>
  </si>
  <si>
    <t xml:space="preserve">9M 2026 adjusted EBITDA margin 28.6 percent [1].</t>
  </si>
  <si>
    <t xml:space="preserve">Underlying EBITDA margin: Bear</t>
  </si>
  <si>
    <t xml:space="preserve">Underlying EBITDA margin: Bull</t>
  </si>
  <si>
    <t xml:space="preserve">Underlying EBITDA margin: ACTIVE</t>
  </si>
  <si>
    <t xml:space="preserve">Other EBITDA items: Base</t>
  </si>
  <si>
    <t xml:space="preserve">No synergy line.</t>
  </si>
  <si>
    <t xml:space="preserve">Other EBITDA items: Bear</t>
  </si>
  <si>
    <t xml:space="preserve">Other EBITDA items: Bull</t>
  </si>
  <si>
    <t xml:space="preserve">Other EBITDA items: ACTIVE</t>
  </si>
  <si>
    <t xml:space="preserve">Stock based compensation: Base</t>
  </si>
  <si>
    <t xml:space="preserve">SBC 1,288 in FY2025 [2], 1,134 in 9M 2026 [1].</t>
  </si>
  <si>
    <t xml:space="preserve">Stock based compensation: Bear</t>
  </si>
  <si>
    <t xml:space="preserve">Stock based compensation: Bull</t>
  </si>
  <si>
    <t xml:space="preserve">Stock based compensation: ACTIVE</t>
  </si>
  <si>
    <t xml:space="preserve">Cash restructuring and one offs: Base</t>
  </si>
  <si>
    <t xml:space="preserve">NBCUniversal and Sky separation costs through mid 2027. Analyst estimate.</t>
  </si>
  <si>
    <t xml:space="preserve">Cash restructuring and one offs: Bear</t>
  </si>
  <si>
    <t xml:space="preserve">Cash restructuring and one offs: Bull</t>
  </si>
  <si>
    <t xml:space="preserve">Cash restructuring and one offs: ACTIVE</t>
  </si>
  <si>
    <t xml:space="preserve">Capex as percent of revenue: Base</t>
  </si>
  <si>
    <t xml:space="preserve">Capex 11,750 on 123,707 in FY2025 [2], about 9.5 percent.</t>
  </si>
  <si>
    <t xml:space="preserve">Capex as percent of revenue: Bear</t>
  </si>
  <si>
    <t xml:space="preserve">Capex as percent of revenue: Bull</t>
  </si>
  <si>
    <t xml:space="preserve">Capex as percent of revenue: ACTIVE</t>
  </si>
  <si>
    <t xml:space="preserve">Working capital and content investment, percent of revenue: Base</t>
  </si>
  <si>
    <t xml:space="preserve">Small working capital drag. Analyst input.</t>
  </si>
  <si>
    <t xml:space="preserve">Working capital and content investment, percent of revenue: Bear</t>
  </si>
  <si>
    <t xml:space="preserve">Working capital and content investment, percent of revenue: Bull</t>
  </si>
  <si>
    <t xml:space="preserve">Working capital and content investment, percent of revenue: ACTIVE</t>
  </si>
  <si>
    <t xml:space="preserve">Tax D and A: Base</t>
  </si>
  <si>
    <t xml:space="preserve">D and A 16,210 in FY2025 [2]. Large, which is why cash taxes are low relative to EBITDA.</t>
  </si>
  <si>
    <t xml:space="preserve">Tax D and A: Bear</t>
  </si>
  <si>
    <t xml:space="preserve">Tax D and A: Bull</t>
  </si>
  <si>
    <t xml:space="preserve">Tax D and A: ACTIVE</t>
  </si>
  <si>
    <t xml:space="preserve">Valuation and market inputs</t>
  </si>
  <si>
    <t xml:space="preserve">Share price ($)</t>
  </si>
  <si>
    <t xml:space="preserve">Yahoo Finance, October 23, 2026 session; not a verified close [8]</t>
  </si>
  <si>
    <t xml:space="preserve">Shares outstanding (millions)</t>
  </si>
  <si>
    <t xml:space="preserve">10-Q cover, October 15, 2026, Class A plus Class B [1]</t>
  </si>
  <si>
    <t xml:space="preserve">Gross debt</t>
  </si>
  <si>
    <t xml:space="preserve">September 30, 2026 [1]</t>
  </si>
  <si>
    <t xml:space="preserve">Cash</t>
  </si>
  <si>
    <t xml:space="preserve">Noncontrolling interests and other claims</t>
  </si>
  <si>
    <t xml:space="preserve">Noncontrolling interests about zero at September 30, 2026 [1]</t>
  </si>
  <si>
    <t xml:space="preserve">Stub fraction of first forecast year remaining</t>
  </si>
  <si>
    <t xml:space="preserve">October 24 to December 31, 2026</t>
  </si>
  <si>
    <t xml:space="preserve">Long term growth rate</t>
  </si>
  <si>
    <t xml:space="preserve">Analyst input. Broadband is mature and linear is shrinking.</t>
  </si>
  <si>
    <t xml:space="preserve">Exit multiple, EV to EBITDA</t>
  </si>
  <si>
    <t xml:space="preserve">Market EV to EBITDA is about 4.5 times; Comcast traded at 6 to 7 times for most of the last decade. Analyst input.</t>
  </si>
  <si>
    <t xml:space="preserve">Cash tax rate</t>
  </si>
  <si>
    <t xml:space="preserve">Same 23 percent in all five models. Statutory 21 federal plus state; company effective rates in the research file.</t>
  </si>
  <si>
    <t xml:space="preserve">Historical results</t>
  </si>
  <si>
    <t xml:space="preserve">USD millions</t>
  </si>
  <si>
    <t xml:space="preserve">FY2024</t>
  </si>
  <si>
    <t xml:space="preserve">FY2025</t>
  </si>
  <si>
    <t xml:space="preserve">9M 2026</t>
  </si>
  <si>
    <t xml:space="preserve">Revenue, as reported, Versant inside through 2025</t>
  </si>
  <si>
    <t xml:space="preserve">[2][1]</t>
  </si>
  <si>
    <t xml:space="preserve">Adjusted EBITDA</t>
  </si>
  <si>
    <t xml:space="preserve">Connectivity and Platforms revenue</t>
  </si>
  <si>
    <t xml:space="preserve">Connectivity and Platforms adjusted EBITDA</t>
  </si>
  <si>
    <t xml:space="preserve">Media revenue</t>
  </si>
  <si>
    <t xml:space="preserve">Studios revenue</t>
  </si>
  <si>
    <t xml:space="preserve">Theme Parks revenue</t>
  </si>
  <si>
    <t xml:space="preserve">Depreciation and amortization</t>
  </si>
  <si>
    <t xml:space="preserve">Stock based compensation</t>
  </si>
  <si>
    <t xml:space="preserve">Capital expenditures</t>
  </si>
  <si>
    <t xml:space="preserve">Free cash flow</t>
  </si>
  <si>
    <t xml:space="preserve">Net debt, period end</t>
  </si>
  <si>
    <t xml:space="preserve">derived [2][1]</t>
  </si>
  <si>
    <t xml:space="preserve">Full year 2024 and 2025 segment splits were not retrieved; 2026 quarters are on the new basis without Versant and, from Q2, without Sky Deutschland.</t>
  </si>
  <si>
    <t xml:space="preserve">Forecast</t>
  </si>
  <si>
    <t xml:space="preserve">Content and Experiences, net of eliminations revenue</t>
  </si>
  <si>
    <t xml:space="preserve">Total revenue</t>
  </si>
  <si>
    <t xml:space="preserve">Revenue growth</t>
  </si>
  <si>
    <t xml:space="preserve">Underlying EBITDA before other items</t>
  </si>
  <si>
    <t xml:space="preserve">Other EBITDA items (synergies, cost programs)</t>
  </si>
  <si>
    <t xml:space="preserve">Adjusted EBITDA margin</t>
  </si>
  <si>
    <t xml:space="preserve">Less stock based compensation</t>
  </si>
  <si>
    <t xml:space="preserve">Less cash restructuring and integration</t>
  </si>
  <si>
    <t xml:space="preserve">EBITDA after stock comp and one offs</t>
  </si>
  <si>
    <t xml:space="preserve">Less tax depreciation and amortization</t>
  </si>
  <si>
    <t xml:space="preserve">Taxable operating profit</t>
  </si>
  <si>
    <t xml:space="preserve">Cash taxes</t>
  </si>
  <si>
    <t xml:space="preserve">Less capital expenditures</t>
  </si>
  <si>
    <t xml:space="preserve">Less working capital and content investment</t>
  </si>
  <si>
    <t xml:space="preserve">Unlevered free cash flow</t>
  </si>
  <si>
    <t xml:space="preserve">Conversion, unlevered FCF over adjusted EBITDA</t>
  </si>
  <si>
    <t xml:space="preserve">Comcast gives no numeric 2026 guidance on capex or FCF [1]. FY2025 FCF of 19,235 is after interest.</t>
  </si>
  <si>
    <t xml:space="preserve">Cost of capital</t>
  </si>
  <si>
    <t xml:space="preserve">Input or step</t>
  </si>
  <si>
    <t xml:space="preserve">Basis</t>
  </si>
  <si>
    <t xml:space="preserve">Risk free rate, 10 year Treasury, October 22, 2026</t>
  </si>
  <si>
    <t xml:space="preserve">Mortgage News Daily, 4.954 percent on October 22, 2026. Same in all five models.</t>
  </si>
  <si>
    <t xml:space="preserve">Equity risk premium</t>
  </si>
  <si>
    <t xml:space="preserve">Analyst input, 4.5 percent in all five models.</t>
  </si>
  <si>
    <t xml:space="preserve">Unlevered beta</t>
  </si>
  <si>
    <t xml:space="preserve">Quoted beta 0.67 [8] at about 1.0 debt to equity unlevers below 0.4, which is too low for a media and cable company. 0.70 is an analyst input, in line with cable peers.</t>
  </si>
  <si>
    <t xml:space="preserve">Market value of equity</t>
  </si>
  <si>
    <t xml:space="preserve">Price times shares</t>
  </si>
  <si>
    <t xml:space="preserve">Net debt</t>
  </si>
  <si>
    <t xml:space="preserve">Latest balance sheet</t>
  </si>
  <si>
    <t xml:space="preserve">Debt to equity</t>
  </si>
  <si>
    <t xml:space="preserve">Tax rate</t>
  </si>
  <si>
    <t xml:space="preserve">Levered beta</t>
  </si>
  <si>
    <t xml:space="preserve">Hamada relevering</t>
  </si>
  <si>
    <t xml:space="preserve">Cost of equity</t>
  </si>
  <si>
    <t xml:space="preserve">CAPM</t>
  </si>
  <si>
    <t xml:space="preserve">Pre tax cost of debt</t>
  </si>
  <si>
    <t xml:space="preserve">Single A rated, under review for downgrade on the spin announcement [unverified]. Analyst input.</t>
  </si>
  <si>
    <t xml:space="preserve">After tax cost of debt</t>
  </si>
  <si>
    <t xml:space="preserve">Weight of equity</t>
  </si>
  <si>
    <t xml:space="preserve">Market weights at the latest close</t>
  </si>
  <si>
    <t xml:space="preserve">Weight of debt</t>
  </si>
  <si>
    <t xml:space="preserve">WACC</t>
  </si>
  <si>
    <t xml:space="preserve">Net cash companies: when net debt is below zero the debt weight is zero and the WACC equals the cost of equity on the equity weight above 100 percent; the formulas handle that but read the weights.</t>
  </si>
  <si>
    <t xml:space="preserve">Discounted cash flow</t>
  </si>
  <si>
    <t xml:space="preserve">Fraction of year included</t>
  </si>
  <si>
    <t xml:space="preserve">Cash flow included</t>
  </si>
  <si>
    <t xml:space="preserve">Discount period, years from valuation date, mid year</t>
  </si>
  <si>
    <t xml:space="preserve">Discount factor</t>
  </si>
  <si>
    <t xml:space="preserve">Present value</t>
  </si>
  <si>
    <t xml:space="preserve">Terminal value, perpetuity growth method</t>
  </si>
  <si>
    <t xml:space="preserve">Long term growth</t>
  </si>
  <si>
    <t xml:space="preserve">Terminal year cash flow, grown one year</t>
  </si>
  <si>
    <t xml:space="preserve">Terminal value at end of forecast</t>
  </si>
  <si>
    <t xml:space="preserve">Discount factor, end of forecast</t>
  </si>
  <si>
    <t xml:space="preserve">Present value of terminal value</t>
  </si>
  <si>
    <t xml:space="preserve">Implied exit multiple of final year EBITDA</t>
  </si>
  <si>
    <t xml:space="preserve">Terminal value, exit multiple method</t>
  </si>
  <si>
    <t xml:space="preserve">Exit multiple</t>
  </si>
  <si>
    <t xml:space="preserve">Implied perpetuity growth</t>
  </si>
  <si>
    <t xml:space="preserve">Enterprise value and bridge to equity</t>
  </si>
  <si>
    <t xml:space="preserve">Perpetuity</t>
  </si>
  <si>
    <t xml:space="preserve">Sum of present value of forecast cash flows</t>
  </si>
  <si>
    <t xml:space="preserve">Enterprise value</t>
  </si>
  <si>
    <t xml:space="preserve">Terminal value share of enterprise value</t>
  </si>
  <si>
    <t xml:space="preserve">Less net debt</t>
  </si>
  <si>
    <t xml:space="preserve">Less noncontrolling interests and other claims</t>
  </si>
  <si>
    <t xml:space="preserve">Equity value</t>
  </si>
  <si>
    <t xml:space="preserve">Shares outstanding, millions</t>
  </si>
  <si>
    <t xml:space="preserve">Implied value per share</t>
  </si>
  <si>
    <t xml:space="preserve">Model output under stated assumptions, not a recommendation.</t>
  </si>
  <si>
    <t xml:space="preserve">Market price</t>
  </si>
  <si>
    <t xml:space="preserve">Model value over market price</t>
  </si>
  <si>
    <t xml:space="preserve">Market enterprise value for reference</t>
  </si>
  <si>
    <t xml:space="preserve">Market EV to 2026E adjusted EBITDA</t>
  </si>
  <si>
    <t xml:space="preserve">Model EV to 2026E adjusted EBITDA</t>
  </si>
  <si>
    <t xml:space="preserve">Sensitivity of implied value per share</t>
  </si>
  <si>
    <t xml:space="preserve">Perpetuity growth method: WACC down, long term growth across. Value per share, $.</t>
  </si>
  <si>
    <t xml:space="preserve">WACC \ growth</t>
  </si>
  <si>
    <t xml:space="preserve">Exit multiple method: WACC down, exit EV to EBITDA across. Value per share, $.</t>
  </si>
  <si>
    <t xml:space="preserve">WACC \ multiple</t>
  </si>
  <si>
    <t xml:space="preserve">Scenario summary, values as built. Change Inputs!C5 to see each scenario live.</t>
  </si>
  <si>
    <t xml:space="preserve">Scenario</t>
  </si>
  <si>
    <t xml:space="preserve">2031E EBITDA</t>
  </si>
  <si>
    <t xml:space="preserve">$ per share, perpetuity</t>
  </si>
  <si>
    <t xml:space="preserve">$ per share, exit</t>
  </si>
  <si>
    <t xml:space="preserve">Base</t>
  </si>
  <si>
    <t xml:space="preserve">Bear</t>
  </si>
  <si>
    <t xml:space="preserve">Bull</t>
  </si>
  <si>
    <t xml:space="preserve">Market price for reference</t>
  </si>
  <si>
    <t xml:space="preserve">No free consensus or target range was found for Comcast in this pass.</t>
  </si>
  <si>
    <t xml:space="preserve">Sources</t>
  </si>
  <si>
    <t xml:space="preserve">#</t>
  </si>
  <si>
    <t xml:space="preserve">Comcast Q3 2026 earnings release and Form 10-Q, quarter ended September 30, 2026. sec.gov</t>
  </si>
  <si>
    <t xml:space="preserve">Comcast Form 10-K for fiscal 2025. sec.gov</t>
  </si>
  <si>
    <t xml:space="preserve">Comcast Q4 2025 earnings release, January 2026. cmcsa.com</t>
  </si>
  <si>
    <t xml:space="preserve">Comcast Q1 2026 and Q2 2026 earnings releases. cmcsa.com</t>
  </si>
  <si>
    <t xml:space="preserve">Comcast press release on the NBCUniversal and Sky separation, June 29, 2026.</t>
  </si>
  <si>
    <t xml:space="preserve">Versant Media Group spin completion, January 2, 2026.</t>
  </si>
  <si>
    <t xml:space="preserve">Comcast balance sheet, December 31, 2025, Form 10-K. sec.gov</t>
  </si>
  <si>
    <t xml:space="preserve">Yahoo Finance, CMCSA quote and statistics, October 23, 2026.</t>
  </si>
  <si>
    <t xml:space="preserve">Mortgage News Daily, 10 year Treasury yield through October 22, 2026.</t>
  </si>
  <si>
    <t xml:space="preserve">Press coverage of the Sky Deutschland sale, May 2026.</t>
  </si>
  <si>
    <t xml:space="preserve">Press coverage of Moody's review for downgrade, June 2026.</t>
  </si>
  <si>
    <t xml:space="preserve">Comcast Peacock subscriber disclosures, Q2 and Q3 2026.</t>
  </si>
  <si>
    <t xml:space="preserve">Comcast Form 10-Q cover, October 15, 2026.</t>
  </si>
  <si>
    <t xml:space="preserve">Comcast dividend declaration, 2026.</t>
  </si>
  <si>
    <t xml:space="preserve">Analyst inputs with no source are labelled as such on the Inputs and WACC sheets. Nothing in this workbook comes from a Bloomberg Terminal or from any employer.</t>
  </si>
</sst>
</file>

<file path=xl/styles.xml><?xml version="1.0" encoding="utf-8"?>
<styleSheet xmlns="http://schemas.openxmlformats.org/spreadsheetml/2006/main">
  <numFmts count="7">
    <numFmt numFmtId="164" formatCode="General"/>
    <numFmt numFmtId="165" formatCode="#,##0;\(#,##0\);\-"/>
    <numFmt numFmtId="166" formatCode="0.0%;\(0.0%\);\-"/>
    <numFmt numFmtId="167" formatCode="\$#,##0.00;&quot;($&quot;#,##0.00\);\-"/>
    <numFmt numFmtId="168" formatCode="0.0\x"/>
    <numFmt numFmtId="169" formatCode="0.00"/>
    <numFmt numFmtId="170"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FFFFFF"/>
      <name val="Arial"/>
      <family val="0"/>
      <charset val="1"/>
    </font>
    <font>
      <sz val="9"/>
      <color rgb="FF595959"/>
      <name val="Arial"/>
      <family val="0"/>
      <charset val="1"/>
    </font>
    <font>
      <sz val="10"/>
      <color rgb="FF008000"/>
      <name val="Arial"/>
      <family val="0"/>
      <charset val="1"/>
    </font>
  </fonts>
  <fills count="5">
    <fill>
      <patternFill patternType="none"/>
    </fill>
    <fill>
      <patternFill patternType="gray125"/>
    </fill>
    <fill>
      <patternFill patternType="solid">
        <fgColor rgb="FFFFFF00"/>
        <bgColor rgb="FFFFFF00"/>
      </patternFill>
    </fill>
    <fill>
      <patternFill patternType="solid">
        <fgColor rgb="FF0A1628"/>
        <bgColor rgb="FF000000"/>
      </patternFill>
    </fill>
    <fill>
      <patternFill patternType="solid">
        <fgColor rgb="FFF2F2F2"/>
        <bgColor rgb="FFFFFFFF"/>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left" vertical="bottom" textRotation="0" wrapText="false" indent="0" shrinkToFit="false"/>
      <protection locked="true" hidden="false"/>
    </xf>
    <xf numFmtId="164" fontId="9" fillId="3"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A1628"/>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28.35" hidden="false" customHeight="false" outlineLevel="0" collapsed="false">
      <c r="A4" s="3" t="s">
        <v>2</v>
      </c>
    </row>
    <row r="5" customFormat="false" ht="28.3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28.35" hidden="false" customHeight="false" outlineLevel="0" collapsed="false">
      <c r="A8" s="3" t="s">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2"/>
    <col collapsed="false" customWidth="true" hidden="false" outlineLevel="0" max="9" min="9" style="0" width="60"/>
  </cols>
  <sheetData>
    <row r="1" customFormat="false" ht="17.35" hidden="false" customHeight="false" outlineLevel="0" collapsed="false">
      <c r="A1" s="1" t="s">
        <v>7</v>
      </c>
    </row>
    <row r="2" customFormat="false" ht="15" hidden="false" customHeight="false" outlineLevel="0" collapsed="false">
      <c r="A2" s="2" t="s">
        <v>1</v>
      </c>
    </row>
    <row r="4" customFormat="false" ht="15" hidden="false" customHeight="false" outlineLevel="0" collapsed="false">
      <c r="A4" s="4" t="s">
        <v>8</v>
      </c>
    </row>
    <row r="5" customFormat="false" ht="15" hidden="false" customHeight="false" outlineLevel="0" collapsed="false">
      <c r="A5" s="5" t="s">
        <v>9</v>
      </c>
      <c r="C5" s="6" t="n">
        <v>1</v>
      </c>
    </row>
    <row r="6" customFormat="false" ht="15" hidden="false" customHeight="false" outlineLevel="0" collapsed="false">
      <c r="A6" s="5" t="s">
        <v>10</v>
      </c>
      <c r="C6" s="5" t="str">
        <f aca="false">CHOOSE(C5,"Base","Bear","Bull")</f>
        <v>Base</v>
      </c>
    </row>
    <row r="8" customFormat="false" ht="15" hidden="false" customHeight="false" outlineLevel="0" collapsed="false">
      <c r="A8" s="7" t="s">
        <v>11</v>
      </c>
      <c r="B8" s="8" t="s">
        <v>12</v>
      </c>
      <c r="C8" s="8"/>
      <c r="D8" s="8"/>
      <c r="E8" s="8"/>
      <c r="F8" s="8"/>
      <c r="G8" s="8"/>
      <c r="H8" s="8"/>
      <c r="I8" s="8" t="s">
        <v>13</v>
      </c>
    </row>
    <row r="9" customFormat="false" ht="15" hidden="false" customHeight="false" outlineLevel="0" collapsed="false">
      <c r="A9" s="5" t="s">
        <v>14</v>
      </c>
      <c r="B9" s="9" t="n">
        <v>120500</v>
      </c>
      <c r="I9" s="10" t="s">
        <v>15</v>
      </c>
    </row>
    <row r="10" customFormat="false" ht="15" hidden="false" customHeight="false" outlineLevel="0" collapsed="false">
      <c r="A10" s="5" t="s">
        <v>16</v>
      </c>
      <c r="B10" s="9" t="n">
        <v>35000</v>
      </c>
      <c r="I10" s="10" t="s">
        <v>17</v>
      </c>
    </row>
    <row r="11" customFormat="false" ht="15" hidden="false" customHeight="false" outlineLevel="0" collapsed="false">
      <c r="A11" s="5" t="s">
        <v>18</v>
      </c>
      <c r="B11" s="9" t="n">
        <v>16210</v>
      </c>
      <c r="I11" s="10" t="s">
        <v>19</v>
      </c>
    </row>
    <row r="12" customFormat="false" ht="15" hidden="false" customHeight="false" outlineLevel="0" collapsed="false">
      <c r="A12" s="5" t="s">
        <v>20</v>
      </c>
      <c r="B12" s="9" t="n">
        <v>11750</v>
      </c>
      <c r="I12" s="10" t="s">
        <v>19</v>
      </c>
    </row>
    <row r="13" customFormat="false" ht="15" hidden="false" customHeight="false" outlineLevel="0" collapsed="false">
      <c r="A13" s="5" t="s">
        <v>21</v>
      </c>
      <c r="B13" s="9" t="n">
        <v>19235</v>
      </c>
      <c r="I13" s="10" t="s">
        <v>19</v>
      </c>
    </row>
    <row r="14" customFormat="false" ht="15" hidden="false" customHeight="false" outlineLevel="0" collapsed="false">
      <c r="A14" s="5" t="s">
        <v>22</v>
      </c>
      <c r="B14" s="9" t="n">
        <v>12716</v>
      </c>
      <c r="I14" s="10" t="s">
        <v>23</v>
      </c>
    </row>
    <row r="16" customFormat="false" ht="15" hidden="false" customHeight="false" outlineLevel="0" collapsed="false">
      <c r="A16" s="7" t="s">
        <v>24</v>
      </c>
      <c r="B16" s="8" t="s">
        <v>12</v>
      </c>
      <c r="C16" s="8"/>
      <c r="D16" s="8"/>
      <c r="E16" s="8"/>
      <c r="F16" s="8"/>
      <c r="G16" s="8"/>
      <c r="H16" s="8"/>
      <c r="I16" s="8" t="s">
        <v>13</v>
      </c>
    </row>
    <row r="17" customFormat="false" ht="15" hidden="false" customHeight="false" outlineLevel="0" collapsed="false">
      <c r="A17" s="5" t="s">
        <v>25</v>
      </c>
      <c r="B17" s="9" t="n">
        <v>79000</v>
      </c>
      <c r="I17" s="10" t="s">
        <v>26</v>
      </c>
    </row>
    <row r="18" customFormat="false" ht="15" hidden="false" customHeight="false" outlineLevel="0" collapsed="false">
      <c r="A18" s="5" t="s">
        <v>27</v>
      </c>
      <c r="B18" s="9" t="n">
        <v>41500</v>
      </c>
      <c r="I18" s="10" t="s">
        <v>28</v>
      </c>
    </row>
    <row r="19" customFormat="false" ht="15" hidden="false" customHeight="false" outlineLevel="0" collapsed="false">
      <c r="A19" s="5" t="s">
        <v>29</v>
      </c>
      <c r="B19" s="11" t="n">
        <f aca="false">SUM(B17:B18)</f>
        <v>120500</v>
      </c>
      <c r="I19" s="10" t="s">
        <v>30</v>
      </c>
    </row>
    <row r="21" customFormat="false" ht="15" hidden="false" customHeight="false" outlineLevel="0" collapsed="false">
      <c r="A21" s="7" t="s">
        <v>31</v>
      </c>
      <c r="B21" s="8" t="s">
        <v>32</v>
      </c>
      <c r="C21" s="8" t="s">
        <v>33</v>
      </c>
      <c r="D21" s="8" t="s">
        <v>34</v>
      </c>
      <c r="E21" s="8" t="s">
        <v>35</v>
      </c>
      <c r="F21" s="8" t="s">
        <v>36</v>
      </c>
      <c r="G21" s="8" t="s">
        <v>37</v>
      </c>
      <c r="H21" s="8"/>
      <c r="I21" s="8"/>
      <c r="J21" s="8" t="s">
        <v>38</v>
      </c>
    </row>
    <row r="22" customFormat="false" ht="15" hidden="false" customHeight="false" outlineLevel="0" collapsed="false">
      <c r="A22" s="5" t="s">
        <v>39</v>
      </c>
      <c r="B22" s="12" t="n">
        <v>-0.01</v>
      </c>
      <c r="C22" s="12" t="n">
        <v>-0.01</v>
      </c>
      <c r="D22" s="12" t="n">
        <v>-0.005</v>
      </c>
      <c r="E22" s="12" t="n">
        <v>0</v>
      </c>
      <c r="F22" s="12" t="n">
        <v>0</v>
      </c>
      <c r="G22" s="12" t="n">
        <v>0</v>
      </c>
      <c r="I22" s="10" t="s">
        <v>40</v>
      </c>
    </row>
    <row r="23" customFormat="false" ht="15" hidden="false" customHeight="false" outlineLevel="0" collapsed="false">
      <c r="A23" s="5" t="s">
        <v>41</v>
      </c>
      <c r="B23" s="12" t="n">
        <v>-0.03</v>
      </c>
      <c r="C23" s="12" t="n">
        <v>-0.03</v>
      </c>
      <c r="D23" s="12" t="n">
        <v>-0.025</v>
      </c>
      <c r="E23" s="12" t="n">
        <v>-0.02</v>
      </c>
      <c r="F23" s="12" t="n">
        <v>-0.02</v>
      </c>
      <c r="G23" s="12" t="n">
        <v>-0.02</v>
      </c>
    </row>
    <row r="24" customFormat="false" ht="15" hidden="false" customHeight="false" outlineLevel="0" collapsed="false">
      <c r="A24" s="5" t="s">
        <v>42</v>
      </c>
      <c r="B24" s="12" t="n">
        <v>0.01</v>
      </c>
      <c r="C24" s="12" t="n">
        <v>0.01</v>
      </c>
      <c r="D24" s="12" t="n">
        <v>0.01</v>
      </c>
      <c r="E24" s="12" t="n">
        <v>0.01</v>
      </c>
      <c r="F24" s="12" t="n">
        <v>0.01</v>
      </c>
      <c r="G24" s="12" t="n">
        <v>0.01</v>
      </c>
    </row>
    <row r="25" customFormat="false" ht="15" hidden="false" customHeight="false" outlineLevel="0" collapsed="false">
      <c r="A25" s="4" t="s">
        <v>43</v>
      </c>
      <c r="B25" s="13" t="n">
        <f aca="false">CHOOSE($C$5,B22,B23,B24)</f>
        <v>-0.01</v>
      </c>
      <c r="C25" s="13" t="n">
        <f aca="false">CHOOSE($C$5,C22,C23,C24)</f>
        <v>-0.01</v>
      </c>
      <c r="D25" s="13" t="n">
        <f aca="false">CHOOSE($C$5,D22,D23,D24)</f>
        <v>-0.005</v>
      </c>
      <c r="E25" s="13" t="n">
        <f aca="false">CHOOSE($C$5,E22,E23,E24)</f>
        <v>0</v>
      </c>
      <c r="F25" s="13" t="n">
        <f aca="false">CHOOSE($C$5,F22,F23,F24)</f>
        <v>0</v>
      </c>
      <c r="G25" s="13" t="n">
        <f aca="false">CHOOSE($C$5,G22,G23,G24)</f>
        <v>0</v>
      </c>
    </row>
    <row r="27" customFormat="false" ht="15" hidden="false" customHeight="false" outlineLevel="0" collapsed="false">
      <c r="A27" s="5" t="s">
        <v>44</v>
      </c>
      <c r="B27" s="12" t="n">
        <v>0.02</v>
      </c>
      <c r="C27" s="12" t="n">
        <v>0.02</v>
      </c>
      <c r="D27" s="12" t="n">
        <v>0.02</v>
      </c>
      <c r="E27" s="12" t="n">
        <v>0.02</v>
      </c>
      <c r="F27" s="12" t="n">
        <v>0.02</v>
      </c>
      <c r="G27" s="12" t="n">
        <v>0.02</v>
      </c>
      <c r="I27" s="10" t="s">
        <v>45</v>
      </c>
    </row>
    <row r="28" customFormat="false" ht="15" hidden="false" customHeight="false" outlineLevel="0" collapsed="false">
      <c r="A28" s="5" t="s">
        <v>46</v>
      </c>
      <c r="B28" s="12" t="n">
        <v>-0.01</v>
      </c>
      <c r="C28" s="12" t="n">
        <v>-0.01</v>
      </c>
      <c r="D28" s="12" t="n">
        <v>0</v>
      </c>
      <c r="E28" s="12" t="n">
        <v>0</v>
      </c>
      <c r="F28" s="12" t="n">
        <v>0</v>
      </c>
      <c r="G28" s="12" t="n">
        <v>0</v>
      </c>
    </row>
    <row r="29" customFormat="false" ht="15" hidden="false" customHeight="false" outlineLevel="0" collapsed="false">
      <c r="A29" s="5" t="s">
        <v>47</v>
      </c>
      <c r="B29" s="12" t="n">
        <v>0.04</v>
      </c>
      <c r="C29" s="12" t="n">
        <v>0.04</v>
      </c>
      <c r="D29" s="12" t="n">
        <v>0.03</v>
      </c>
      <c r="E29" s="12" t="n">
        <v>0.03</v>
      </c>
      <c r="F29" s="12" t="n">
        <v>0.03</v>
      </c>
      <c r="G29" s="12" t="n">
        <v>0.03</v>
      </c>
    </row>
    <row r="30" customFormat="false" ht="15" hidden="false" customHeight="false" outlineLevel="0" collapsed="false">
      <c r="A30" s="4" t="s">
        <v>48</v>
      </c>
      <c r="B30" s="13" t="n">
        <f aca="false">CHOOSE($C$5,B27,B28,B29)</f>
        <v>0.02</v>
      </c>
      <c r="C30" s="13" t="n">
        <f aca="false">CHOOSE($C$5,C27,C28,C29)</f>
        <v>0.02</v>
      </c>
      <c r="D30" s="13" t="n">
        <f aca="false">CHOOSE($C$5,D27,D28,D29)</f>
        <v>0.02</v>
      </c>
      <c r="E30" s="13" t="n">
        <f aca="false">CHOOSE($C$5,E27,E28,E29)</f>
        <v>0.02</v>
      </c>
      <c r="F30" s="13" t="n">
        <f aca="false">CHOOSE($C$5,F27,F28,F29)</f>
        <v>0.02</v>
      </c>
      <c r="G30" s="13" t="n">
        <f aca="false">CHOOSE($C$5,G27,G28,G29)</f>
        <v>0.02</v>
      </c>
    </row>
    <row r="32" customFormat="false" ht="15" hidden="false" customHeight="false" outlineLevel="0" collapsed="false">
      <c r="A32" s="5" t="s">
        <v>49</v>
      </c>
      <c r="B32" s="12" t="n">
        <v>0.29</v>
      </c>
      <c r="C32" s="12" t="n">
        <v>0.288</v>
      </c>
      <c r="D32" s="12" t="n">
        <v>0.286</v>
      </c>
      <c r="E32" s="12" t="n">
        <v>0.284</v>
      </c>
      <c r="F32" s="12" t="n">
        <v>0.282</v>
      </c>
      <c r="G32" s="12" t="n">
        <v>0.28</v>
      </c>
      <c r="I32" s="10" t="s">
        <v>50</v>
      </c>
    </row>
    <row r="33" customFormat="false" ht="15" hidden="false" customHeight="false" outlineLevel="0" collapsed="false">
      <c r="A33" s="5" t="s">
        <v>51</v>
      </c>
      <c r="B33" s="12" t="n">
        <v>0.285</v>
      </c>
      <c r="C33" s="12" t="n">
        <v>0.278</v>
      </c>
      <c r="D33" s="12" t="n">
        <v>0.27</v>
      </c>
      <c r="E33" s="12" t="n">
        <v>0.262</v>
      </c>
      <c r="F33" s="12" t="n">
        <v>0.255</v>
      </c>
      <c r="G33" s="12" t="n">
        <v>0.25</v>
      </c>
    </row>
    <row r="34" customFormat="false" ht="15" hidden="false" customHeight="false" outlineLevel="0" collapsed="false">
      <c r="A34" s="5" t="s">
        <v>52</v>
      </c>
      <c r="B34" s="12" t="n">
        <v>0.292</v>
      </c>
      <c r="C34" s="12" t="n">
        <v>0.294</v>
      </c>
      <c r="D34" s="12" t="n">
        <v>0.296</v>
      </c>
      <c r="E34" s="12" t="n">
        <v>0.298</v>
      </c>
      <c r="F34" s="12" t="n">
        <v>0.3</v>
      </c>
      <c r="G34" s="12" t="n">
        <v>0.3</v>
      </c>
    </row>
    <row r="35" customFormat="false" ht="15" hidden="false" customHeight="false" outlineLevel="0" collapsed="false">
      <c r="A35" s="4" t="s">
        <v>53</v>
      </c>
      <c r="B35" s="13" t="n">
        <f aca="false">CHOOSE($C$5,B32,B33,B34)</f>
        <v>0.29</v>
      </c>
      <c r="C35" s="13" t="n">
        <f aca="false">CHOOSE($C$5,C32,C33,C34)</f>
        <v>0.288</v>
      </c>
      <c r="D35" s="13" t="n">
        <f aca="false">CHOOSE($C$5,D32,D33,D34)</f>
        <v>0.286</v>
      </c>
      <c r="E35" s="13" t="n">
        <f aca="false">CHOOSE($C$5,E32,E33,E34)</f>
        <v>0.284</v>
      </c>
      <c r="F35" s="13" t="n">
        <f aca="false">CHOOSE($C$5,F32,F33,F34)</f>
        <v>0.282</v>
      </c>
      <c r="G35" s="13" t="n">
        <f aca="false">CHOOSE($C$5,G32,G33,G34)</f>
        <v>0.28</v>
      </c>
    </row>
    <row r="37" customFormat="false" ht="15" hidden="false" customHeight="false" outlineLevel="0" collapsed="false">
      <c r="A37" s="5" t="s">
        <v>54</v>
      </c>
      <c r="B37" s="9" t="n">
        <v>0</v>
      </c>
      <c r="C37" s="9" t="n">
        <v>0</v>
      </c>
      <c r="D37" s="9" t="n">
        <v>0</v>
      </c>
      <c r="E37" s="9" t="n">
        <v>0</v>
      </c>
      <c r="F37" s="9" t="n">
        <v>0</v>
      </c>
      <c r="G37" s="9" t="n">
        <v>0</v>
      </c>
      <c r="I37" s="10" t="s">
        <v>55</v>
      </c>
    </row>
    <row r="38" customFormat="false" ht="15" hidden="false" customHeight="false" outlineLevel="0" collapsed="false">
      <c r="A38" s="5" t="s">
        <v>56</v>
      </c>
      <c r="B38" s="9" t="n">
        <v>0</v>
      </c>
      <c r="C38" s="9" t="n">
        <v>0</v>
      </c>
      <c r="D38" s="9" t="n">
        <v>0</v>
      </c>
      <c r="E38" s="9" t="n">
        <v>0</v>
      </c>
      <c r="F38" s="9" t="n">
        <v>0</v>
      </c>
      <c r="G38" s="9" t="n">
        <v>0</v>
      </c>
    </row>
    <row r="39" customFormat="false" ht="15" hidden="false" customHeight="false" outlineLevel="0" collapsed="false">
      <c r="A39" s="5" t="s">
        <v>57</v>
      </c>
      <c r="B39" s="9" t="n">
        <v>0</v>
      </c>
      <c r="C39" s="9" t="n">
        <v>0</v>
      </c>
      <c r="D39" s="9" t="n">
        <v>0</v>
      </c>
      <c r="E39" s="9" t="n">
        <v>0</v>
      </c>
      <c r="F39" s="9" t="n">
        <v>0</v>
      </c>
      <c r="G39" s="9" t="n">
        <v>0</v>
      </c>
    </row>
    <row r="40" customFormat="false" ht="15" hidden="false" customHeight="false" outlineLevel="0" collapsed="false">
      <c r="A40" s="4" t="s">
        <v>58</v>
      </c>
      <c r="B40" s="14" t="n">
        <f aca="false">CHOOSE($C$5,B37,B38,B39)</f>
        <v>0</v>
      </c>
      <c r="C40" s="14" t="n">
        <f aca="false">CHOOSE($C$5,C37,C38,C39)</f>
        <v>0</v>
      </c>
      <c r="D40" s="14" t="n">
        <f aca="false">CHOOSE($C$5,D37,D38,D39)</f>
        <v>0</v>
      </c>
      <c r="E40" s="14" t="n">
        <f aca="false">CHOOSE($C$5,E37,E38,E39)</f>
        <v>0</v>
      </c>
      <c r="F40" s="14" t="n">
        <f aca="false">CHOOSE($C$5,F37,F38,F39)</f>
        <v>0</v>
      </c>
      <c r="G40" s="14" t="n">
        <f aca="false">CHOOSE($C$5,G37,G38,G39)</f>
        <v>0</v>
      </c>
    </row>
    <row r="42" customFormat="false" ht="15" hidden="false" customHeight="false" outlineLevel="0" collapsed="false">
      <c r="A42" s="5" t="s">
        <v>59</v>
      </c>
      <c r="B42" s="9" t="n">
        <v>1500</v>
      </c>
      <c r="C42" s="9" t="n">
        <v>1500</v>
      </c>
      <c r="D42" s="9" t="n">
        <v>1500</v>
      </c>
      <c r="E42" s="9" t="n">
        <v>1500</v>
      </c>
      <c r="F42" s="9" t="n">
        <v>1500</v>
      </c>
      <c r="G42" s="9" t="n">
        <v>1500</v>
      </c>
      <c r="I42" s="10" t="s">
        <v>60</v>
      </c>
    </row>
    <row r="43" customFormat="false" ht="15" hidden="false" customHeight="false" outlineLevel="0" collapsed="false">
      <c r="A43" s="5" t="s">
        <v>61</v>
      </c>
      <c r="B43" s="9" t="n">
        <v>1500</v>
      </c>
      <c r="C43" s="9" t="n">
        <v>1500</v>
      </c>
      <c r="D43" s="9" t="n">
        <v>1500</v>
      </c>
      <c r="E43" s="9" t="n">
        <v>1500</v>
      </c>
      <c r="F43" s="9" t="n">
        <v>1500</v>
      </c>
      <c r="G43" s="9" t="n">
        <v>1500</v>
      </c>
    </row>
    <row r="44" customFormat="false" ht="15" hidden="false" customHeight="false" outlineLevel="0" collapsed="false">
      <c r="A44" s="5" t="s">
        <v>62</v>
      </c>
      <c r="B44" s="9" t="n">
        <v>1500</v>
      </c>
      <c r="C44" s="9" t="n">
        <v>1500</v>
      </c>
      <c r="D44" s="9" t="n">
        <v>1500</v>
      </c>
      <c r="E44" s="9" t="n">
        <v>1500</v>
      </c>
      <c r="F44" s="9" t="n">
        <v>1500</v>
      </c>
      <c r="G44" s="9" t="n">
        <v>1500</v>
      </c>
    </row>
    <row r="45" customFormat="false" ht="15" hidden="false" customHeight="false" outlineLevel="0" collapsed="false">
      <c r="A45" s="4" t="s">
        <v>63</v>
      </c>
      <c r="B45" s="14" t="n">
        <f aca="false">CHOOSE($C$5,B42,B43,B44)</f>
        <v>1500</v>
      </c>
      <c r="C45" s="14" t="n">
        <f aca="false">CHOOSE($C$5,C42,C43,C44)</f>
        <v>1500</v>
      </c>
      <c r="D45" s="14" t="n">
        <f aca="false">CHOOSE($C$5,D42,D43,D44)</f>
        <v>1500</v>
      </c>
      <c r="E45" s="14" t="n">
        <f aca="false">CHOOSE($C$5,E42,E43,E44)</f>
        <v>1500</v>
      </c>
      <c r="F45" s="14" t="n">
        <f aca="false">CHOOSE($C$5,F42,F43,F44)</f>
        <v>1500</v>
      </c>
      <c r="G45" s="14" t="n">
        <f aca="false">CHOOSE($C$5,G42,G43,G44)</f>
        <v>1500</v>
      </c>
    </row>
    <row r="47" customFormat="false" ht="15" hidden="false" customHeight="false" outlineLevel="0" collapsed="false">
      <c r="A47" s="5" t="s">
        <v>64</v>
      </c>
      <c r="B47" s="9" t="n">
        <v>500</v>
      </c>
      <c r="C47" s="9" t="n">
        <v>800</v>
      </c>
      <c r="D47" s="9" t="n">
        <v>300</v>
      </c>
      <c r="E47" s="9" t="n">
        <v>0</v>
      </c>
      <c r="F47" s="9" t="n">
        <v>0</v>
      </c>
      <c r="G47" s="9" t="n">
        <v>0</v>
      </c>
      <c r="I47" s="10" t="s">
        <v>65</v>
      </c>
    </row>
    <row r="48" customFormat="false" ht="15" hidden="false" customHeight="false" outlineLevel="0" collapsed="false">
      <c r="A48" s="5" t="s">
        <v>66</v>
      </c>
      <c r="B48" s="9" t="n">
        <v>500</v>
      </c>
      <c r="C48" s="9" t="n">
        <v>1000</v>
      </c>
      <c r="D48" s="9" t="n">
        <v>500</v>
      </c>
      <c r="E48" s="9" t="n">
        <v>200</v>
      </c>
      <c r="F48" s="9" t="n">
        <v>0</v>
      </c>
      <c r="G48" s="9" t="n">
        <v>0</v>
      </c>
    </row>
    <row r="49" customFormat="false" ht="15" hidden="false" customHeight="false" outlineLevel="0" collapsed="false">
      <c r="A49" s="5" t="s">
        <v>67</v>
      </c>
      <c r="B49" s="9" t="n">
        <v>500</v>
      </c>
      <c r="C49" s="9" t="n">
        <v>600</v>
      </c>
      <c r="D49" s="9" t="n">
        <v>200</v>
      </c>
      <c r="E49" s="9" t="n">
        <v>0</v>
      </c>
      <c r="F49" s="9" t="n">
        <v>0</v>
      </c>
      <c r="G49" s="9" t="n">
        <v>0</v>
      </c>
    </row>
    <row r="50" customFormat="false" ht="15" hidden="false" customHeight="false" outlineLevel="0" collapsed="false">
      <c r="A50" s="4" t="s">
        <v>68</v>
      </c>
      <c r="B50" s="14" t="n">
        <f aca="false">CHOOSE($C$5,B47,B48,B49)</f>
        <v>500</v>
      </c>
      <c r="C50" s="14" t="n">
        <f aca="false">CHOOSE($C$5,C47,C48,C49)</f>
        <v>800</v>
      </c>
      <c r="D50" s="14" t="n">
        <f aca="false">CHOOSE($C$5,D47,D48,D49)</f>
        <v>300</v>
      </c>
      <c r="E50" s="14" t="n">
        <f aca="false">CHOOSE($C$5,E47,E48,E49)</f>
        <v>0</v>
      </c>
      <c r="F50" s="14" t="n">
        <f aca="false">CHOOSE($C$5,F47,F48,F49)</f>
        <v>0</v>
      </c>
      <c r="G50" s="14" t="n">
        <f aca="false">CHOOSE($C$5,G47,G48,G49)</f>
        <v>0</v>
      </c>
    </row>
    <row r="52" customFormat="false" ht="15" hidden="false" customHeight="false" outlineLevel="0" collapsed="false">
      <c r="A52" s="5" t="s">
        <v>69</v>
      </c>
      <c r="B52" s="12" t="n">
        <v>0.095</v>
      </c>
      <c r="C52" s="12" t="n">
        <v>0.095</v>
      </c>
      <c r="D52" s="12" t="n">
        <v>0.095</v>
      </c>
      <c r="E52" s="12" t="n">
        <v>0.095</v>
      </c>
      <c r="F52" s="12" t="n">
        <v>0.095</v>
      </c>
      <c r="G52" s="12" t="n">
        <v>0.095</v>
      </c>
      <c r="I52" s="10" t="s">
        <v>70</v>
      </c>
    </row>
    <row r="53" customFormat="false" ht="15" hidden="false" customHeight="false" outlineLevel="0" collapsed="false">
      <c r="A53" s="5" t="s">
        <v>71</v>
      </c>
      <c r="B53" s="12" t="n">
        <v>0.1</v>
      </c>
      <c r="C53" s="12" t="n">
        <v>0.1</v>
      </c>
      <c r="D53" s="12" t="n">
        <v>0.1</v>
      </c>
      <c r="E53" s="12" t="n">
        <v>0.1</v>
      </c>
      <c r="F53" s="12" t="n">
        <v>0.1</v>
      </c>
      <c r="G53" s="12" t="n">
        <v>0.1</v>
      </c>
    </row>
    <row r="54" customFormat="false" ht="15" hidden="false" customHeight="false" outlineLevel="0" collapsed="false">
      <c r="A54" s="5" t="s">
        <v>72</v>
      </c>
      <c r="B54" s="12" t="n">
        <v>0.09</v>
      </c>
      <c r="C54" s="12" t="n">
        <v>0.09</v>
      </c>
      <c r="D54" s="12" t="n">
        <v>0.09</v>
      </c>
      <c r="E54" s="12" t="n">
        <v>0.09</v>
      </c>
      <c r="F54" s="12" t="n">
        <v>0.09</v>
      </c>
      <c r="G54" s="12" t="n">
        <v>0.09</v>
      </c>
    </row>
    <row r="55" customFormat="false" ht="15" hidden="false" customHeight="false" outlineLevel="0" collapsed="false">
      <c r="A55" s="4" t="s">
        <v>73</v>
      </c>
      <c r="B55" s="13" t="n">
        <f aca="false">CHOOSE($C$5,B52,B53,B54)</f>
        <v>0.095</v>
      </c>
      <c r="C55" s="13" t="n">
        <f aca="false">CHOOSE($C$5,C52,C53,C54)</f>
        <v>0.095</v>
      </c>
      <c r="D55" s="13" t="n">
        <f aca="false">CHOOSE($C$5,D52,D53,D54)</f>
        <v>0.095</v>
      </c>
      <c r="E55" s="13" t="n">
        <f aca="false">CHOOSE($C$5,E52,E53,E54)</f>
        <v>0.095</v>
      </c>
      <c r="F55" s="13" t="n">
        <f aca="false">CHOOSE($C$5,F52,F53,F54)</f>
        <v>0.095</v>
      </c>
      <c r="G55" s="13" t="n">
        <f aca="false">CHOOSE($C$5,G52,G53,G54)</f>
        <v>0.095</v>
      </c>
    </row>
    <row r="57" customFormat="false" ht="15" hidden="false" customHeight="false" outlineLevel="0" collapsed="false">
      <c r="A57" s="5" t="s">
        <v>74</v>
      </c>
      <c r="B57" s="12" t="n">
        <v>0.005</v>
      </c>
      <c r="C57" s="12" t="n">
        <v>0.005</v>
      </c>
      <c r="D57" s="12" t="n">
        <v>0.005</v>
      </c>
      <c r="E57" s="12" t="n">
        <v>0.005</v>
      </c>
      <c r="F57" s="12" t="n">
        <v>0.005</v>
      </c>
      <c r="G57" s="12" t="n">
        <v>0.005</v>
      </c>
      <c r="I57" s="10" t="s">
        <v>75</v>
      </c>
    </row>
    <row r="58" customFormat="false" ht="15" hidden="false" customHeight="false" outlineLevel="0" collapsed="false">
      <c r="A58" s="5" t="s">
        <v>76</v>
      </c>
      <c r="B58" s="12" t="n">
        <v>0.008</v>
      </c>
      <c r="C58" s="12" t="n">
        <v>0.008</v>
      </c>
      <c r="D58" s="12" t="n">
        <v>0.008</v>
      </c>
      <c r="E58" s="12" t="n">
        <v>0.008</v>
      </c>
      <c r="F58" s="12" t="n">
        <v>0.008</v>
      </c>
      <c r="G58" s="12" t="n">
        <v>0.008</v>
      </c>
    </row>
    <row r="59" customFormat="false" ht="15" hidden="false" customHeight="false" outlineLevel="0" collapsed="false">
      <c r="A59" s="5" t="s">
        <v>77</v>
      </c>
      <c r="B59" s="12" t="n">
        <v>0.004</v>
      </c>
      <c r="C59" s="12" t="n">
        <v>0.004</v>
      </c>
      <c r="D59" s="12" t="n">
        <v>0.004</v>
      </c>
      <c r="E59" s="12" t="n">
        <v>0.004</v>
      </c>
      <c r="F59" s="12" t="n">
        <v>0.004</v>
      </c>
      <c r="G59" s="12" t="n">
        <v>0.004</v>
      </c>
    </row>
    <row r="60" customFormat="false" ht="15" hidden="false" customHeight="false" outlineLevel="0" collapsed="false">
      <c r="A60" s="4" t="s">
        <v>78</v>
      </c>
      <c r="B60" s="13" t="n">
        <f aca="false">CHOOSE($C$5,B57,B58,B59)</f>
        <v>0.005</v>
      </c>
      <c r="C60" s="13" t="n">
        <f aca="false">CHOOSE($C$5,C57,C58,C59)</f>
        <v>0.005</v>
      </c>
      <c r="D60" s="13" t="n">
        <f aca="false">CHOOSE($C$5,D57,D58,D59)</f>
        <v>0.005</v>
      </c>
      <c r="E60" s="13" t="n">
        <f aca="false">CHOOSE($C$5,E57,E58,E59)</f>
        <v>0.005</v>
      </c>
      <c r="F60" s="13" t="n">
        <f aca="false">CHOOSE($C$5,F57,F58,F59)</f>
        <v>0.005</v>
      </c>
      <c r="G60" s="13" t="n">
        <f aca="false">CHOOSE($C$5,G57,G58,G59)</f>
        <v>0.005</v>
      </c>
    </row>
    <row r="62" customFormat="false" ht="15" hidden="false" customHeight="false" outlineLevel="0" collapsed="false">
      <c r="A62" s="5" t="s">
        <v>79</v>
      </c>
      <c r="B62" s="9" t="n">
        <v>16000</v>
      </c>
      <c r="C62" s="9" t="n">
        <v>16000</v>
      </c>
      <c r="D62" s="9" t="n">
        <v>16000</v>
      </c>
      <c r="E62" s="9" t="n">
        <v>16000</v>
      </c>
      <c r="F62" s="9" t="n">
        <v>16000</v>
      </c>
      <c r="G62" s="9" t="n">
        <v>16000</v>
      </c>
      <c r="I62" s="10" t="s">
        <v>80</v>
      </c>
    </row>
    <row r="63" customFormat="false" ht="15" hidden="false" customHeight="false" outlineLevel="0" collapsed="false">
      <c r="A63" s="5" t="s">
        <v>81</v>
      </c>
      <c r="B63" s="9" t="n">
        <v>16000</v>
      </c>
      <c r="C63" s="9" t="n">
        <v>16000</v>
      </c>
      <c r="D63" s="9" t="n">
        <v>16000</v>
      </c>
      <c r="E63" s="9" t="n">
        <v>16000</v>
      </c>
      <c r="F63" s="9" t="n">
        <v>16000</v>
      </c>
      <c r="G63" s="9" t="n">
        <v>16000</v>
      </c>
    </row>
    <row r="64" customFormat="false" ht="15" hidden="false" customHeight="false" outlineLevel="0" collapsed="false">
      <c r="A64" s="5" t="s">
        <v>82</v>
      </c>
      <c r="B64" s="9" t="n">
        <v>16000</v>
      </c>
      <c r="C64" s="9" t="n">
        <v>16000</v>
      </c>
      <c r="D64" s="9" t="n">
        <v>16000</v>
      </c>
      <c r="E64" s="9" t="n">
        <v>16000</v>
      </c>
      <c r="F64" s="9" t="n">
        <v>16000</v>
      </c>
      <c r="G64" s="9" t="n">
        <v>16000</v>
      </c>
    </row>
    <row r="65" customFormat="false" ht="15" hidden="false" customHeight="false" outlineLevel="0" collapsed="false">
      <c r="A65" s="4" t="s">
        <v>83</v>
      </c>
      <c r="B65" s="14" t="n">
        <f aca="false">CHOOSE($C$5,B62,B63,B64)</f>
        <v>16000</v>
      </c>
      <c r="C65" s="14" t="n">
        <f aca="false">CHOOSE($C$5,C62,C63,C64)</f>
        <v>16000</v>
      </c>
      <c r="D65" s="14" t="n">
        <f aca="false">CHOOSE($C$5,D62,D63,D64)</f>
        <v>16000</v>
      </c>
      <c r="E65" s="14" t="n">
        <f aca="false">CHOOSE($C$5,E62,E63,E64)</f>
        <v>16000</v>
      </c>
      <c r="F65" s="14" t="n">
        <f aca="false">CHOOSE($C$5,F62,F63,F64)</f>
        <v>16000</v>
      </c>
      <c r="G65" s="14" t="n">
        <f aca="false">CHOOSE($C$5,G62,G63,G64)</f>
        <v>16000</v>
      </c>
    </row>
    <row r="67" customFormat="false" ht="15" hidden="false" customHeight="false" outlineLevel="0" collapsed="false">
      <c r="A67" s="7" t="s">
        <v>84</v>
      </c>
      <c r="B67" s="8" t="s">
        <v>12</v>
      </c>
      <c r="C67" s="8"/>
      <c r="D67" s="8"/>
      <c r="E67" s="8"/>
      <c r="F67" s="8"/>
      <c r="G67" s="8"/>
      <c r="H67" s="8"/>
      <c r="I67" s="8" t="s">
        <v>13</v>
      </c>
    </row>
    <row r="68" customFormat="false" ht="15" hidden="false" customHeight="false" outlineLevel="0" collapsed="false">
      <c r="A68" s="5" t="s">
        <v>85</v>
      </c>
      <c r="B68" s="15" t="n">
        <v>22.04</v>
      </c>
      <c r="I68" s="10" t="s">
        <v>86</v>
      </c>
    </row>
    <row r="69" customFormat="false" ht="15" hidden="false" customHeight="false" outlineLevel="0" collapsed="false">
      <c r="A69" s="5" t="s">
        <v>87</v>
      </c>
      <c r="B69" s="9" t="n">
        <v>3551</v>
      </c>
      <c r="I69" s="10" t="s">
        <v>88</v>
      </c>
    </row>
    <row r="70" customFormat="false" ht="15" hidden="false" customHeight="false" outlineLevel="0" collapsed="false">
      <c r="A70" s="5" t="s">
        <v>89</v>
      </c>
      <c r="B70" s="9" t="n">
        <v>87366</v>
      </c>
      <c r="I70" s="10" t="s">
        <v>90</v>
      </c>
    </row>
    <row r="71" customFormat="false" ht="15" hidden="false" customHeight="false" outlineLevel="0" collapsed="false">
      <c r="A71" s="5" t="s">
        <v>91</v>
      </c>
      <c r="B71" s="9" t="n">
        <v>7596</v>
      </c>
      <c r="I71" s="10" t="s">
        <v>90</v>
      </c>
    </row>
    <row r="72" customFormat="false" ht="15" hidden="false" customHeight="false" outlineLevel="0" collapsed="false">
      <c r="A72" s="5" t="s">
        <v>92</v>
      </c>
      <c r="B72" s="9" t="n">
        <v>0</v>
      </c>
      <c r="I72" s="10" t="s">
        <v>93</v>
      </c>
    </row>
    <row r="73" customFormat="false" ht="15" hidden="false" customHeight="false" outlineLevel="0" collapsed="false">
      <c r="A73" s="5" t="s">
        <v>94</v>
      </c>
      <c r="B73" s="12" t="n">
        <v>0.19</v>
      </c>
      <c r="I73" s="10" t="s">
        <v>95</v>
      </c>
    </row>
    <row r="74" customFormat="false" ht="15" hidden="false" customHeight="false" outlineLevel="0" collapsed="false">
      <c r="A74" s="5" t="s">
        <v>96</v>
      </c>
      <c r="B74" s="12" t="n">
        <v>0.005</v>
      </c>
      <c r="I74" s="10" t="s">
        <v>97</v>
      </c>
    </row>
    <row r="75" customFormat="false" ht="15" hidden="false" customHeight="false" outlineLevel="0" collapsed="false">
      <c r="A75" s="5" t="s">
        <v>98</v>
      </c>
      <c r="B75" s="16" t="n">
        <v>5.5</v>
      </c>
      <c r="I75" s="10" t="s">
        <v>99</v>
      </c>
    </row>
    <row r="76" customFormat="false" ht="15" hidden="false" customHeight="false" outlineLevel="0" collapsed="false">
      <c r="A76" s="5" t="s">
        <v>100</v>
      </c>
      <c r="B76" s="12" t="n">
        <v>0.23</v>
      </c>
      <c r="I76" s="10"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2"/>
    <col collapsed="false" customWidth="true" hidden="false" outlineLevel="0" max="7" min="7" style="0" width="50"/>
  </cols>
  <sheetData>
    <row r="1" customFormat="false" ht="17.35" hidden="false" customHeight="false" outlineLevel="0" collapsed="false">
      <c r="A1" s="1" t="s">
        <v>102</v>
      </c>
    </row>
    <row r="2" customFormat="false" ht="15" hidden="false" customHeight="false" outlineLevel="0" collapsed="false">
      <c r="A2" s="2" t="s">
        <v>1</v>
      </c>
    </row>
    <row r="4" customFormat="false" ht="15" hidden="false" customHeight="false" outlineLevel="0" collapsed="false">
      <c r="A4" s="7" t="s">
        <v>103</v>
      </c>
      <c r="B4" s="8" t="s">
        <v>104</v>
      </c>
      <c r="C4" s="8" t="s">
        <v>105</v>
      </c>
      <c r="D4" s="8" t="s">
        <v>106</v>
      </c>
      <c r="E4" s="8" t="s">
        <v>13</v>
      </c>
    </row>
    <row r="5" customFormat="false" ht="15" hidden="false" customHeight="false" outlineLevel="0" collapsed="false">
      <c r="A5" s="5" t="s">
        <v>107</v>
      </c>
      <c r="B5" s="9" t="n">
        <v>123731</v>
      </c>
      <c r="C5" s="9" t="n">
        <v>123707</v>
      </c>
      <c r="D5" s="9" t="n">
        <v>90695</v>
      </c>
      <c r="E5" s="10" t="s">
        <v>108</v>
      </c>
    </row>
    <row r="6" customFormat="false" ht="15" hidden="false" customHeight="false" outlineLevel="0" collapsed="false">
      <c r="A6" s="5" t="s">
        <v>109</v>
      </c>
      <c r="B6" s="9" t="n">
        <v>38069</v>
      </c>
      <c r="C6" s="9" t="n">
        <v>37384</v>
      </c>
      <c r="D6" s="9" t="n">
        <v>25938</v>
      </c>
      <c r="E6" s="10" t="s">
        <v>108</v>
      </c>
    </row>
    <row r="7" customFormat="false" ht="15" hidden="false" customHeight="false" outlineLevel="0" collapsed="false">
      <c r="A7" s="5" t="s">
        <v>110</v>
      </c>
      <c r="D7" s="9" t="n">
        <v>59420</v>
      </c>
      <c r="E7" s="10" t="s">
        <v>23</v>
      </c>
    </row>
    <row r="8" customFormat="false" ht="15" hidden="false" customHeight="false" outlineLevel="0" collapsed="false">
      <c r="A8" s="5" t="s">
        <v>111</v>
      </c>
      <c r="D8" s="9" t="n">
        <v>23462</v>
      </c>
      <c r="E8" s="10" t="s">
        <v>23</v>
      </c>
    </row>
    <row r="9" customFormat="false" ht="15" hidden="false" customHeight="false" outlineLevel="0" collapsed="false">
      <c r="A9" s="5" t="s">
        <v>112</v>
      </c>
      <c r="D9" s="9" t="n">
        <v>18330</v>
      </c>
      <c r="E9" s="10" t="s">
        <v>23</v>
      </c>
    </row>
    <row r="10" customFormat="false" ht="15" hidden="false" customHeight="false" outlineLevel="0" collapsed="false">
      <c r="A10" s="5" t="s">
        <v>113</v>
      </c>
      <c r="D10" s="9" t="n">
        <v>9433</v>
      </c>
      <c r="E10" s="10" t="s">
        <v>23</v>
      </c>
    </row>
    <row r="11" customFormat="false" ht="15" hidden="false" customHeight="false" outlineLevel="0" collapsed="false">
      <c r="A11" s="5" t="s">
        <v>114</v>
      </c>
      <c r="D11" s="9" t="n">
        <v>7341</v>
      </c>
      <c r="E11" s="10" t="s">
        <v>23</v>
      </c>
    </row>
    <row r="12" customFormat="false" ht="15" hidden="false" customHeight="false" outlineLevel="0" collapsed="false">
      <c r="A12" s="5" t="s">
        <v>115</v>
      </c>
      <c r="B12" s="9" t="n">
        <v>14802</v>
      </c>
      <c r="C12" s="9" t="n">
        <v>16210</v>
      </c>
      <c r="D12" s="9" t="n">
        <v>11252</v>
      </c>
      <c r="E12" s="10" t="s">
        <v>108</v>
      </c>
    </row>
    <row r="13" customFormat="false" ht="15" hidden="false" customHeight="false" outlineLevel="0" collapsed="false">
      <c r="A13" s="5" t="s">
        <v>116</v>
      </c>
      <c r="C13" s="9" t="n">
        <v>1288</v>
      </c>
      <c r="D13" s="9" t="n">
        <v>1134</v>
      </c>
      <c r="E13" s="10" t="s">
        <v>108</v>
      </c>
    </row>
    <row r="14" customFormat="false" ht="15" hidden="false" customHeight="false" outlineLevel="0" collapsed="false">
      <c r="A14" s="5" t="s">
        <v>117</v>
      </c>
      <c r="B14" s="9" t="n">
        <v>12181</v>
      </c>
      <c r="C14" s="9" t="n">
        <v>11750</v>
      </c>
      <c r="D14" s="9" t="n">
        <v>8311</v>
      </c>
      <c r="E14" s="10" t="s">
        <v>108</v>
      </c>
    </row>
    <row r="15" customFormat="false" ht="15" hidden="false" customHeight="false" outlineLevel="0" collapsed="false">
      <c r="A15" s="5" t="s">
        <v>118</v>
      </c>
      <c r="B15" s="9" t="n">
        <v>12543</v>
      </c>
      <c r="C15" s="9" t="n">
        <v>19235</v>
      </c>
      <c r="D15" s="9" t="n">
        <v>12716</v>
      </c>
      <c r="E15" s="10" t="s">
        <v>108</v>
      </c>
    </row>
    <row r="16" customFormat="false" ht="15" hidden="false" customHeight="false" outlineLevel="0" collapsed="false">
      <c r="A16" s="5" t="s">
        <v>119</v>
      </c>
      <c r="C16" s="9" t="n">
        <v>89456</v>
      </c>
      <c r="D16" s="9" t="n">
        <v>79770</v>
      </c>
      <c r="E16" s="10" t="s">
        <v>120</v>
      </c>
    </row>
    <row r="18" customFormat="false" ht="15" hidden="false" customHeight="false" outlineLevel="0" collapsed="false">
      <c r="A18" s="2" t="s">
        <v>121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6"/>
  </cols>
  <sheetData>
    <row r="1" customFormat="false" ht="17.35" hidden="false" customHeight="false" outlineLevel="0" collapsed="false">
      <c r="A1" s="1" t="s">
        <v>122</v>
      </c>
    </row>
    <row r="2" customFormat="false" ht="15" hidden="false" customHeight="false" outlineLevel="0" collapsed="false">
      <c r="A2" s="2" t="s">
        <v>1</v>
      </c>
    </row>
    <row r="4" customFormat="false" ht="15" hidden="false" customHeight="false" outlineLevel="0" collapsed="false">
      <c r="A4" s="7" t="s">
        <v>103</v>
      </c>
      <c r="B4" s="8" t="s">
        <v>32</v>
      </c>
      <c r="C4" s="8" t="s">
        <v>33</v>
      </c>
      <c r="D4" s="8" t="s">
        <v>34</v>
      </c>
      <c r="E4" s="8" t="s">
        <v>35</v>
      </c>
      <c r="F4" s="8" t="s">
        <v>36</v>
      </c>
      <c r="G4" s="8" t="s">
        <v>37</v>
      </c>
      <c r="H4" s="8" t="s">
        <v>38</v>
      </c>
    </row>
    <row r="5" customFormat="false" ht="15" hidden="false" customHeight="false" outlineLevel="0" collapsed="false">
      <c r="A5" s="5" t="s">
        <v>110</v>
      </c>
      <c r="B5" s="17" t="n">
        <f aca="false">Inputs!B17</f>
        <v>79000</v>
      </c>
      <c r="C5" s="18" t="n">
        <f aca="false">B5*(1+Inputs!C$25)</f>
        <v>78210</v>
      </c>
      <c r="D5" s="18" t="n">
        <f aca="false">C5*(1+Inputs!D$25)</f>
        <v>77818.95</v>
      </c>
      <c r="E5" s="18" t="n">
        <f aca="false">D5*(1+Inputs!E$25)</f>
        <v>77818.95</v>
      </c>
      <c r="F5" s="18" t="n">
        <f aca="false">E5*(1+Inputs!F$25)</f>
        <v>77818.95</v>
      </c>
      <c r="G5" s="18" t="n">
        <f aca="false">F5*(1+Inputs!G$25)</f>
        <v>77818.95</v>
      </c>
    </row>
    <row r="6" customFormat="false" ht="15" hidden="false" customHeight="false" outlineLevel="0" collapsed="false">
      <c r="A6" s="5" t="s">
        <v>123</v>
      </c>
      <c r="B6" s="17" t="n">
        <f aca="false">Inputs!B18</f>
        <v>41500</v>
      </c>
      <c r="C6" s="18" t="n">
        <f aca="false">B6*(1+Inputs!C$30)</f>
        <v>42330</v>
      </c>
      <c r="D6" s="18" t="n">
        <f aca="false">C6*(1+Inputs!D$30)</f>
        <v>43176.6</v>
      </c>
      <c r="E6" s="18" t="n">
        <f aca="false">D6*(1+Inputs!E$30)</f>
        <v>44040.132</v>
      </c>
      <c r="F6" s="18" t="n">
        <f aca="false">E6*(1+Inputs!F$30)</f>
        <v>44920.93464</v>
      </c>
      <c r="G6" s="18" t="n">
        <f aca="false">F6*(1+Inputs!G$30)</f>
        <v>45819.3533328</v>
      </c>
    </row>
    <row r="7" customFormat="false" ht="15" hidden="false" customHeight="false" outlineLevel="0" collapsed="false">
      <c r="A7" s="19" t="s">
        <v>124</v>
      </c>
      <c r="B7" s="20" t="n">
        <f aca="false">SUM(B5:B6)</f>
        <v>120500</v>
      </c>
      <c r="C7" s="20" t="n">
        <f aca="false">SUM(C5:C6)</f>
        <v>120540</v>
      </c>
      <c r="D7" s="20" t="n">
        <f aca="false">SUM(D5:D6)</f>
        <v>120995.55</v>
      </c>
      <c r="E7" s="20" t="n">
        <f aca="false">SUM(E5:E6)</f>
        <v>121859.082</v>
      </c>
      <c r="F7" s="20" t="n">
        <f aca="false">SUM(F5:F6)</f>
        <v>122739.88464</v>
      </c>
      <c r="G7" s="20" t="n">
        <f aca="false">SUM(G5:G6)</f>
        <v>123638.3033328</v>
      </c>
    </row>
    <row r="8" customFormat="false" ht="15" hidden="false" customHeight="false" outlineLevel="0" collapsed="false">
      <c r="A8" s="5" t="s">
        <v>125</v>
      </c>
      <c r="B8" s="21"/>
      <c r="C8" s="21" t="n">
        <f aca="false">C7/B7-1</f>
        <v>0.00033195020746879</v>
      </c>
      <c r="D8" s="21" t="n">
        <f aca="false">D7/C7-1</f>
        <v>0.00377924340467883</v>
      </c>
      <c r="E8" s="21" t="n">
        <f aca="false">E7/D7-1</f>
        <v>0.00713689057159539</v>
      </c>
      <c r="F8" s="21" t="n">
        <f aca="false">F7/E7-1</f>
        <v>0.00722804263370391</v>
      </c>
      <c r="G8" s="21" t="n">
        <f aca="false">G7/F7-1</f>
        <v>0.00731969640867014</v>
      </c>
    </row>
    <row r="10" customFormat="false" ht="15" hidden="false" customHeight="false" outlineLevel="0" collapsed="false">
      <c r="A10" s="5" t="s">
        <v>126</v>
      </c>
      <c r="B10" s="18" t="n">
        <f aca="false">B7*Inputs!B$35</f>
        <v>34945</v>
      </c>
      <c r="C10" s="18" t="n">
        <f aca="false">C7*Inputs!C$35</f>
        <v>34715.52</v>
      </c>
      <c r="D10" s="18" t="n">
        <f aca="false">D7*Inputs!D$35</f>
        <v>34604.7273</v>
      </c>
      <c r="E10" s="18" t="n">
        <f aca="false">E7*Inputs!E$35</f>
        <v>34607.979288</v>
      </c>
      <c r="F10" s="18" t="n">
        <f aca="false">F7*Inputs!F$35</f>
        <v>34612.64746848</v>
      </c>
      <c r="G10" s="18" t="n">
        <f aca="false">G7*Inputs!G$35</f>
        <v>34618.724933184</v>
      </c>
    </row>
    <row r="11" customFormat="false" ht="15" hidden="false" customHeight="false" outlineLevel="0" collapsed="false">
      <c r="A11" s="5" t="s">
        <v>127</v>
      </c>
      <c r="B11" s="17" t="n">
        <f aca="false">Inputs!B$40</f>
        <v>0</v>
      </c>
      <c r="C11" s="17" t="n">
        <f aca="false">Inputs!C$40</f>
        <v>0</v>
      </c>
      <c r="D11" s="17" t="n">
        <f aca="false">Inputs!D$40</f>
        <v>0</v>
      </c>
      <c r="E11" s="17" t="n">
        <f aca="false">Inputs!E$40</f>
        <v>0</v>
      </c>
      <c r="F11" s="17" t="n">
        <f aca="false">Inputs!F$40</f>
        <v>0</v>
      </c>
      <c r="G11" s="17" t="n">
        <f aca="false">Inputs!G$40</f>
        <v>0</v>
      </c>
    </row>
    <row r="12" customFormat="false" ht="15" hidden="false" customHeight="false" outlineLevel="0" collapsed="false">
      <c r="A12" s="19" t="s">
        <v>109</v>
      </c>
      <c r="B12" s="20" t="n">
        <f aca="false">B10+B11</f>
        <v>34945</v>
      </c>
      <c r="C12" s="20" t="n">
        <f aca="false">C10+C11</f>
        <v>34715.52</v>
      </c>
      <c r="D12" s="20" t="n">
        <f aca="false">D10+D11</f>
        <v>34604.7273</v>
      </c>
      <c r="E12" s="20" t="n">
        <f aca="false">E10+E11</f>
        <v>34607.979288</v>
      </c>
      <c r="F12" s="20" t="n">
        <f aca="false">F10+F11</f>
        <v>34612.64746848</v>
      </c>
      <c r="G12" s="20" t="n">
        <f aca="false">G10+G11</f>
        <v>34618.724933184</v>
      </c>
    </row>
    <row r="13" customFormat="false" ht="15" hidden="false" customHeight="false" outlineLevel="0" collapsed="false">
      <c r="A13" s="5" t="s">
        <v>128</v>
      </c>
      <c r="B13" s="21" t="n">
        <f aca="false">B12/B7</f>
        <v>0.29</v>
      </c>
      <c r="C13" s="21" t="n">
        <f aca="false">C12/C7</f>
        <v>0.288</v>
      </c>
      <c r="D13" s="21" t="n">
        <f aca="false">D12/D7</f>
        <v>0.286</v>
      </c>
      <c r="E13" s="21" t="n">
        <f aca="false">E12/E7</f>
        <v>0.284</v>
      </c>
      <c r="F13" s="21" t="n">
        <f aca="false">F12/F7</f>
        <v>0.282</v>
      </c>
      <c r="G13" s="21" t="n">
        <f aca="false">G12/G7</f>
        <v>0.28</v>
      </c>
    </row>
    <row r="14" customFormat="false" ht="15" hidden="false" customHeight="false" outlineLevel="0" collapsed="false">
      <c r="A14" s="5" t="s">
        <v>129</v>
      </c>
      <c r="B14" s="17" t="n">
        <f aca="false">-Inputs!B$45</f>
        <v>-1500</v>
      </c>
      <c r="C14" s="17" t="n">
        <f aca="false">-Inputs!C$45</f>
        <v>-1500</v>
      </c>
      <c r="D14" s="17" t="n">
        <f aca="false">-Inputs!D$45</f>
        <v>-1500</v>
      </c>
      <c r="E14" s="17" t="n">
        <f aca="false">-Inputs!E$45</f>
        <v>-1500</v>
      </c>
      <c r="F14" s="17" t="n">
        <f aca="false">-Inputs!F$45</f>
        <v>-1500</v>
      </c>
      <c r="G14" s="17" t="n">
        <f aca="false">-Inputs!G$45</f>
        <v>-1500</v>
      </c>
    </row>
    <row r="15" customFormat="false" ht="15" hidden="false" customHeight="false" outlineLevel="0" collapsed="false">
      <c r="A15" s="5" t="s">
        <v>130</v>
      </c>
      <c r="B15" s="17" t="n">
        <f aca="false">-Inputs!B$50</f>
        <v>-500</v>
      </c>
      <c r="C15" s="17" t="n">
        <f aca="false">-Inputs!C$50</f>
        <v>-800</v>
      </c>
      <c r="D15" s="17" t="n">
        <f aca="false">-Inputs!D$50</f>
        <v>-300</v>
      </c>
      <c r="E15" s="17" t="n">
        <f aca="false">-Inputs!E$50</f>
        <v>-0</v>
      </c>
      <c r="F15" s="17" t="n">
        <f aca="false">-Inputs!F$50</f>
        <v>-0</v>
      </c>
      <c r="G15" s="17" t="n">
        <f aca="false">-Inputs!G$50</f>
        <v>-0</v>
      </c>
    </row>
    <row r="16" customFormat="false" ht="15" hidden="false" customHeight="false" outlineLevel="0" collapsed="false">
      <c r="A16" s="5" t="s">
        <v>131</v>
      </c>
      <c r="B16" s="18" t="n">
        <f aca="false">B12+B14+B15</f>
        <v>32945</v>
      </c>
      <c r="C16" s="18" t="n">
        <f aca="false">C12+C14+C15</f>
        <v>32415.52</v>
      </c>
      <c r="D16" s="18" t="n">
        <f aca="false">D12+D14+D15</f>
        <v>32804.7273</v>
      </c>
      <c r="E16" s="18" t="n">
        <f aca="false">E12+E14+E15</f>
        <v>33107.979288</v>
      </c>
      <c r="F16" s="18" t="n">
        <f aca="false">F12+F14+F15</f>
        <v>33112.64746848</v>
      </c>
      <c r="G16" s="18" t="n">
        <f aca="false">G12+G14+G15</f>
        <v>33118.724933184</v>
      </c>
    </row>
    <row r="17" customFormat="false" ht="15" hidden="false" customHeight="false" outlineLevel="0" collapsed="false">
      <c r="A17" s="5" t="s">
        <v>132</v>
      </c>
      <c r="B17" s="17" t="n">
        <f aca="false">-Inputs!B$65</f>
        <v>-16000</v>
      </c>
      <c r="C17" s="17" t="n">
        <f aca="false">-Inputs!C$65</f>
        <v>-16000</v>
      </c>
      <c r="D17" s="17" t="n">
        <f aca="false">-Inputs!D$65</f>
        <v>-16000</v>
      </c>
      <c r="E17" s="17" t="n">
        <f aca="false">-Inputs!E$65</f>
        <v>-16000</v>
      </c>
      <c r="F17" s="17" t="n">
        <f aca="false">-Inputs!F$65</f>
        <v>-16000</v>
      </c>
      <c r="G17" s="17" t="n">
        <f aca="false">-Inputs!G$65</f>
        <v>-16000</v>
      </c>
    </row>
    <row r="18" customFormat="false" ht="15" hidden="false" customHeight="false" outlineLevel="0" collapsed="false">
      <c r="A18" s="5" t="s">
        <v>133</v>
      </c>
      <c r="B18" s="18" t="n">
        <f aca="false">B16+B17</f>
        <v>16945</v>
      </c>
      <c r="C18" s="18" t="n">
        <f aca="false">C16+C17</f>
        <v>16415.52</v>
      </c>
      <c r="D18" s="18" t="n">
        <f aca="false">D16+D17</f>
        <v>16804.7273</v>
      </c>
      <c r="E18" s="18" t="n">
        <f aca="false">E16+E17</f>
        <v>17107.979288</v>
      </c>
      <c r="F18" s="18" t="n">
        <f aca="false">F16+F17</f>
        <v>17112.64746848</v>
      </c>
      <c r="G18" s="18" t="n">
        <f aca="false">G16+G17</f>
        <v>17118.724933184</v>
      </c>
    </row>
    <row r="19" customFormat="false" ht="15" hidden="false" customHeight="false" outlineLevel="0" collapsed="false">
      <c r="A19" s="5" t="s">
        <v>134</v>
      </c>
      <c r="B19" s="18" t="n">
        <f aca="false">-MAX(0,B18)*Inputs!$B$76</f>
        <v>-3897.35</v>
      </c>
      <c r="C19" s="18" t="n">
        <f aca="false">-MAX(0,C18)*Inputs!$B$76</f>
        <v>-3775.5696</v>
      </c>
      <c r="D19" s="18" t="n">
        <f aca="false">-MAX(0,D18)*Inputs!$B$76</f>
        <v>-3865.087279</v>
      </c>
      <c r="E19" s="18" t="n">
        <f aca="false">-MAX(0,E18)*Inputs!$B$76</f>
        <v>-3934.83523624</v>
      </c>
      <c r="F19" s="18" t="n">
        <f aca="false">-MAX(0,F18)*Inputs!$B$76</f>
        <v>-3935.9089177504</v>
      </c>
      <c r="G19" s="18" t="n">
        <f aca="false">-MAX(0,G18)*Inputs!$B$76</f>
        <v>-3937.30673463232</v>
      </c>
    </row>
    <row r="20" customFormat="false" ht="15" hidden="false" customHeight="false" outlineLevel="0" collapsed="false">
      <c r="A20" s="5" t="s">
        <v>135</v>
      </c>
      <c r="B20" s="18" t="n">
        <f aca="false">-B7*Inputs!B$55</f>
        <v>-11447.5</v>
      </c>
      <c r="C20" s="18" t="n">
        <f aca="false">-C7*Inputs!C$55</f>
        <v>-11451.3</v>
      </c>
      <c r="D20" s="18" t="n">
        <f aca="false">-D7*Inputs!D$55</f>
        <v>-11494.57725</v>
      </c>
      <c r="E20" s="18" t="n">
        <f aca="false">-E7*Inputs!E$55</f>
        <v>-11576.61279</v>
      </c>
      <c r="F20" s="18" t="n">
        <f aca="false">-F7*Inputs!F$55</f>
        <v>-11660.2890408</v>
      </c>
      <c r="G20" s="18" t="n">
        <f aca="false">-G7*Inputs!G$55</f>
        <v>-11745.638816616</v>
      </c>
    </row>
    <row r="21" customFormat="false" ht="15" hidden="false" customHeight="false" outlineLevel="0" collapsed="false">
      <c r="A21" s="5" t="s">
        <v>136</v>
      </c>
      <c r="B21" s="18" t="n">
        <f aca="false">-B7*Inputs!B$60</f>
        <v>-602.5</v>
      </c>
      <c r="C21" s="18" t="n">
        <f aca="false">-C7*Inputs!C$60</f>
        <v>-602.7</v>
      </c>
      <c r="D21" s="18" t="n">
        <f aca="false">-D7*Inputs!D$60</f>
        <v>-604.97775</v>
      </c>
      <c r="E21" s="18" t="n">
        <f aca="false">-E7*Inputs!E$60</f>
        <v>-609.29541</v>
      </c>
      <c r="F21" s="18" t="n">
        <f aca="false">-F7*Inputs!F$60</f>
        <v>-613.6994232</v>
      </c>
      <c r="G21" s="18" t="n">
        <f aca="false">-G7*Inputs!G$60</f>
        <v>-618.191516664</v>
      </c>
    </row>
    <row r="22" customFormat="false" ht="15" hidden="false" customHeight="false" outlineLevel="0" collapsed="false">
      <c r="A22" s="19" t="s">
        <v>137</v>
      </c>
      <c r="B22" s="20" t="n">
        <f aca="false">B16+B19+B20+B21</f>
        <v>16997.65</v>
      </c>
      <c r="C22" s="20" t="n">
        <f aca="false">C16+C19+C20+C21</f>
        <v>16585.9504</v>
      </c>
      <c r="D22" s="20" t="n">
        <f aca="false">D16+D19+D20+D21</f>
        <v>16840.085021</v>
      </c>
      <c r="E22" s="20" t="n">
        <f aca="false">E16+E19+E20+E21</f>
        <v>16987.23585176</v>
      </c>
      <c r="F22" s="20" t="n">
        <f aca="false">F16+F19+F20+F21</f>
        <v>16902.7500867296</v>
      </c>
      <c r="G22" s="20" t="n">
        <f aca="false">G16+G19+G20+G21</f>
        <v>16817.5878652717</v>
      </c>
    </row>
    <row r="23" customFormat="false" ht="15" hidden="false" customHeight="false" outlineLevel="0" collapsed="false">
      <c r="A23" s="5" t="s">
        <v>138</v>
      </c>
      <c r="B23" s="21" t="n">
        <f aca="false">B22/B12</f>
        <v>0.486411503791673</v>
      </c>
      <c r="C23" s="21" t="n">
        <f aca="false">C22/C12</f>
        <v>0.477767592131704</v>
      </c>
      <c r="D23" s="21" t="n">
        <f aca="false">D22/D12</f>
        <v>0.486641171161606</v>
      </c>
      <c r="E23" s="21" t="n">
        <f aca="false">E22/E12</f>
        <v>0.490847376854799</v>
      </c>
      <c r="F23" s="21" t="n">
        <f aca="false">F22/F12</f>
        <v>0.488340283768298</v>
      </c>
      <c r="G23" s="21" t="n">
        <f aca="false">G22/G12</f>
        <v>0.485794548982683</v>
      </c>
    </row>
    <row r="25" customFormat="false" ht="15" hidden="false" customHeight="false" outlineLevel="0" collapsed="false">
      <c r="A25" s="2"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14"/>
    <col collapsed="false" customWidth="true" hidden="false" outlineLevel="0" max="3" min="3" style="0" width="60"/>
  </cols>
  <sheetData>
    <row r="1" customFormat="false" ht="17.35" hidden="false" customHeight="false" outlineLevel="0" collapsed="false">
      <c r="A1" s="1" t="s">
        <v>140</v>
      </c>
    </row>
    <row r="2" customFormat="false" ht="15" hidden="false" customHeight="false" outlineLevel="0" collapsed="false">
      <c r="A2" s="2" t="s">
        <v>1</v>
      </c>
    </row>
    <row r="4" customFormat="false" ht="15" hidden="false" customHeight="false" outlineLevel="0" collapsed="false">
      <c r="A4" s="7" t="s">
        <v>141</v>
      </c>
      <c r="B4" s="8" t="s">
        <v>12</v>
      </c>
      <c r="C4" s="8" t="s">
        <v>142</v>
      </c>
    </row>
    <row r="5" customFormat="false" ht="15" hidden="false" customHeight="false" outlineLevel="0" collapsed="false">
      <c r="A5" s="5" t="s">
        <v>143</v>
      </c>
      <c r="B5" s="12" t="n">
        <v>0.0495</v>
      </c>
      <c r="C5" s="10" t="s">
        <v>144</v>
      </c>
    </row>
    <row r="6" customFormat="false" ht="15" hidden="false" customHeight="false" outlineLevel="0" collapsed="false">
      <c r="A6" s="5" t="s">
        <v>145</v>
      </c>
      <c r="B6" s="12" t="n">
        <v>0.045</v>
      </c>
      <c r="C6" s="10" t="s">
        <v>146</v>
      </c>
    </row>
    <row r="7" customFormat="false" ht="15" hidden="false" customHeight="false" outlineLevel="0" collapsed="false">
      <c r="A7" s="5" t="s">
        <v>147</v>
      </c>
      <c r="B7" s="22" t="n">
        <v>0.7</v>
      </c>
      <c r="C7" s="10" t="s">
        <v>148</v>
      </c>
    </row>
    <row r="8" customFormat="false" ht="15" hidden="false" customHeight="false" outlineLevel="0" collapsed="false">
      <c r="A8" s="5" t="s">
        <v>149</v>
      </c>
      <c r="B8" s="17" t="n">
        <f aca="false">Inputs!$B$68*Inputs!$B$69</f>
        <v>78264.04</v>
      </c>
      <c r="C8" s="10" t="s">
        <v>150</v>
      </c>
    </row>
    <row r="9" customFormat="false" ht="15" hidden="false" customHeight="false" outlineLevel="0" collapsed="false">
      <c r="A9" s="5" t="s">
        <v>151</v>
      </c>
      <c r="B9" s="17" t="n">
        <f aca="false">Inputs!$B$70-Inputs!$B$71</f>
        <v>79770</v>
      </c>
      <c r="C9" s="10" t="s">
        <v>152</v>
      </c>
    </row>
    <row r="10" customFormat="false" ht="15" hidden="false" customHeight="false" outlineLevel="0" collapsed="false">
      <c r="A10" s="5" t="s">
        <v>153</v>
      </c>
      <c r="B10" s="23" t="n">
        <f aca="false">B9/B8</f>
        <v>1.01924204270569</v>
      </c>
      <c r="C10" s="10"/>
    </row>
    <row r="11" customFormat="false" ht="15" hidden="false" customHeight="false" outlineLevel="0" collapsed="false">
      <c r="A11" s="5" t="s">
        <v>154</v>
      </c>
      <c r="B11" s="24" t="n">
        <f aca="false">Inputs!$B$76</f>
        <v>0.23</v>
      </c>
      <c r="C11" s="10"/>
    </row>
    <row r="12" customFormat="false" ht="15" hidden="false" customHeight="false" outlineLevel="0" collapsed="false">
      <c r="A12" s="5" t="s">
        <v>155</v>
      </c>
      <c r="B12" s="23" t="n">
        <f aca="false">B7*(1+(1-B11)*B10)</f>
        <v>1.24937146101837</v>
      </c>
      <c r="C12" s="10" t="s">
        <v>156</v>
      </c>
    </row>
    <row r="13" customFormat="false" ht="15" hidden="false" customHeight="false" outlineLevel="0" collapsed="false">
      <c r="A13" s="5" t="s">
        <v>157</v>
      </c>
      <c r="B13" s="21" t="n">
        <f aca="false">B5+B12*B6</f>
        <v>0.105721715745827</v>
      </c>
      <c r="C13" s="10" t="s">
        <v>158</v>
      </c>
    </row>
    <row r="14" customFormat="false" ht="15" hidden="false" customHeight="false" outlineLevel="0" collapsed="false">
      <c r="A14" s="5" t="s">
        <v>159</v>
      </c>
      <c r="B14" s="12" t="n">
        <v>0.05</v>
      </c>
      <c r="C14" s="10" t="s">
        <v>160</v>
      </c>
    </row>
    <row r="15" customFormat="false" ht="15" hidden="false" customHeight="false" outlineLevel="0" collapsed="false">
      <c r="A15" s="5" t="s">
        <v>161</v>
      </c>
      <c r="B15" s="21" t="n">
        <f aca="false">B14*(1-B11)</f>
        <v>0.0385</v>
      </c>
      <c r="C15" s="10"/>
    </row>
    <row r="16" customFormat="false" ht="15" hidden="false" customHeight="false" outlineLevel="0" collapsed="false">
      <c r="A16" s="5" t="s">
        <v>162</v>
      </c>
      <c r="B16" s="21" t="n">
        <f aca="false">B8/(B8+B9)</f>
        <v>0.495235330312381</v>
      </c>
      <c r="C16" s="10" t="s">
        <v>163</v>
      </c>
    </row>
    <row r="17" customFormat="false" ht="15" hidden="false" customHeight="false" outlineLevel="0" collapsed="false">
      <c r="A17" s="5" t="s">
        <v>164</v>
      </c>
      <c r="B17" s="21" t="n">
        <f aca="false">B9/(B8+B9)</f>
        <v>0.504764669687619</v>
      </c>
      <c r="C17" s="10"/>
    </row>
    <row r="18" customFormat="false" ht="15" hidden="false" customHeight="false" outlineLevel="0" collapsed="false">
      <c r="A18" s="4" t="s">
        <v>165</v>
      </c>
      <c r="B18" s="25" t="n">
        <f aca="false">B16*B13+B17*B15</f>
        <v>0.0717905686015494</v>
      </c>
      <c r="C18" s="10"/>
    </row>
    <row r="20" customFormat="false" ht="15" hidden="false" customHeight="false" outlineLevel="0" collapsed="false">
      <c r="A20" s="2" t="s">
        <v>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2"/>
    <col collapsed="false" customWidth="true" hidden="false" outlineLevel="0" max="8" min="8" style="0" width="40"/>
  </cols>
  <sheetData>
    <row r="1" customFormat="false" ht="17.35" hidden="false" customHeight="false" outlineLevel="0" collapsed="false">
      <c r="A1" s="1" t="s">
        <v>167</v>
      </c>
    </row>
    <row r="2" customFormat="false" ht="15" hidden="false" customHeight="false" outlineLevel="0" collapsed="false">
      <c r="A2" s="2" t="s">
        <v>1</v>
      </c>
    </row>
    <row r="4" customFormat="false" ht="15" hidden="false" customHeight="false" outlineLevel="0" collapsed="false">
      <c r="A4" s="7" t="s">
        <v>103</v>
      </c>
      <c r="B4" s="8" t="s">
        <v>32</v>
      </c>
      <c r="C4" s="8" t="s">
        <v>33</v>
      </c>
      <c r="D4" s="8" t="s">
        <v>34</v>
      </c>
      <c r="E4" s="8" t="s">
        <v>35</v>
      </c>
      <c r="F4" s="8" t="s">
        <v>36</v>
      </c>
      <c r="G4" s="8" t="s">
        <v>37</v>
      </c>
      <c r="H4" s="8" t="s">
        <v>38</v>
      </c>
    </row>
    <row r="5" customFormat="false" ht="15" hidden="false" customHeight="false" outlineLevel="0" collapsed="false">
      <c r="A5" s="5" t="s">
        <v>137</v>
      </c>
      <c r="B5" s="17" t="n">
        <f aca="false">Forecast!B22</f>
        <v>16997.65</v>
      </c>
      <c r="C5" s="17" t="n">
        <f aca="false">Forecast!C22</f>
        <v>16585.9504</v>
      </c>
      <c r="D5" s="17" t="n">
        <f aca="false">Forecast!D22</f>
        <v>16840.085021</v>
      </c>
      <c r="E5" s="17" t="n">
        <f aca="false">Forecast!E22</f>
        <v>16987.23585176</v>
      </c>
      <c r="F5" s="17" t="n">
        <f aca="false">Forecast!F22</f>
        <v>16902.7500867296</v>
      </c>
      <c r="G5" s="17" t="n">
        <f aca="false">Forecast!G22</f>
        <v>16817.5878652717</v>
      </c>
    </row>
    <row r="6" customFormat="false" ht="15" hidden="false" customHeight="false" outlineLevel="0" collapsed="false">
      <c r="A6" s="5" t="s">
        <v>168</v>
      </c>
      <c r="B6" s="24" t="n">
        <f aca="false">Inputs!$B$73</f>
        <v>0.19</v>
      </c>
      <c r="C6" s="12" t="n">
        <v>1</v>
      </c>
      <c r="D6" s="12" t="n">
        <v>1</v>
      </c>
      <c r="E6" s="12" t="n">
        <v>1</v>
      </c>
      <c r="F6" s="12" t="n">
        <v>1</v>
      </c>
      <c r="G6" s="12" t="n">
        <v>1</v>
      </c>
    </row>
    <row r="7" customFormat="false" ht="15" hidden="false" customHeight="false" outlineLevel="0" collapsed="false">
      <c r="A7" s="5" t="s">
        <v>169</v>
      </c>
      <c r="B7" s="18" t="n">
        <f aca="false">B5*B6</f>
        <v>3229.5535</v>
      </c>
      <c r="C7" s="18" t="n">
        <f aca="false">C5*C6</f>
        <v>16585.9504</v>
      </c>
      <c r="D7" s="18" t="n">
        <f aca="false">D5*D6</f>
        <v>16840.085021</v>
      </c>
      <c r="E7" s="18" t="n">
        <f aca="false">E5*E6</f>
        <v>16987.23585176</v>
      </c>
      <c r="F7" s="18" t="n">
        <f aca="false">F5*F6</f>
        <v>16902.7500867296</v>
      </c>
      <c r="G7" s="18" t="n">
        <f aca="false">G5*G6</f>
        <v>16817.5878652717</v>
      </c>
    </row>
    <row r="8" customFormat="false" ht="15" hidden="false" customHeight="false" outlineLevel="0" collapsed="false">
      <c r="A8" s="5" t="s">
        <v>170</v>
      </c>
      <c r="B8" s="23" t="n">
        <f aca="false">B6/2</f>
        <v>0.095</v>
      </c>
      <c r="C8" s="23" t="n">
        <f aca="false">B6+1-0.5</f>
        <v>0.69</v>
      </c>
      <c r="D8" s="23" t="n">
        <f aca="false">B6+2-0.5</f>
        <v>1.69</v>
      </c>
      <c r="E8" s="23" t="n">
        <f aca="false">B6+3-0.5</f>
        <v>2.69</v>
      </c>
      <c r="F8" s="23" t="n">
        <f aca="false">B6+4-0.5</f>
        <v>3.69</v>
      </c>
      <c r="G8" s="23" t="n">
        <f aca="false">B6+5-0.5</f>
        <v>4.69</v>
      </c>
    </row>
    <row r="9" customFormat="false" ht="15" hidden="false" customHeight="false" outlineLevel="0" collapsed="false">
      <c r="A9" s="5" t="s">
        <v>171</v>
      </c>
      <c r="B9" s="26" t="n">
        <f aca="false">1/(1+WACC!$B$18)^B8</f>
        <v>0.993435228432339</v>
      </c>
      <c r="C9" s="26" t="n">
        <f aca="false">1/(1+WACC!$B$18)^C8</f>
        <v>0.953288046980671</v>
      </c>
      <c r="D9" s="26" t="n">
        <f aca="false">1/(1+WACC!$B$18)^D8</f>
        <v>0.88943500242263</v>
      </c>
      <c r="E9" s="26" t="n">
        <f aca="false">1/(1+WACC!$B$18)^E8</f>
        <v>0.82985895610478</v>
      </c>
      <c r="F9" s="26" t="n">
        <f aca="false">1/(1+WACC!$B$18)^F8</f>
        <v>0.774273426559037</v>
      </c>
      <c r="G9" s="26" t="n">
        <f aca="false">1/(1+WACC!$B$18)^G8</f>
        <v>0.722411121390341</v>
      </c>
    </row>
    <row r="10" customFormat="false" ht="15" hidden="false" customHeight="false" outlineLevel="0" collapsed="false">
      <c r="A10" s="4" t="s">
        <v>172</v>
      </c>
      <c r="B10" s="11" t="n">
        <f aca="false">B7*B9</f>
        <v>3208.35221900696</v>
      </c>
      <c r="C10" s="11" t="n">
        <f aca="false">C7*C9</f>
        <v>15811.1882641343</v>
      </c>
      <c r="D10" s="11" t="n">
        <f aca="false">D7*D9</f>
        <v>14978.1610614504</v>
      </c>
      <c r="E10" s="11" t="n">
        <f aca="false">E7*E9</f>
        <v>14097.0098110472</v>
      </c>
      <c r="F10" s="11" t="n">
        <f aca="false">F7*F9</f>
        <v>13087.3502279232</v>
      </c>
      <c r="G10" s="11" t="n">
        <f aca="false">G7*G9</f>
        <v>12149.2125088315</v>
      </c>
    </row>
    <row r="12" customFormat="false" ht="15" hidden="false" customHeight="false" outlineLevel="0" collapsed="false">
      <c r="A12" s="4" t="s">
        <v>173</v>
      </c>
    </row>
    <row r="13" customFormat="false" ht="15" hidden="false" customHeight="false" outlineLevel="0" collapsed="false">
      <c r="A13" s="5" t="s">
        <v>174</v>
      </c>
      <c r="B13" s="24" t="n">
        <f aca="false">Inputs!$B$74</f>
        <v>0.005</v>
      </c>
    </row>
    <row r="14" customFormat="false" ht="15" hidden="false" customHeight="false" outlineLevel="0" collapsed="false">
      <c r="A14" s="5" t="s">
        <v>175</v>
      </c>
      <c r="B14" s="18" t="n">
        <f aca="false">G5*(1+B13)</f>
        <v>16901.675804598</v>
      </c>
    </row>
    <row r="15" customFormat="false" ht="15" hidden="false" customHeight="false" outlineLevel="0" collapsed="false">
      <c r="A15" s="5" t="s">
        <v>176</v>
      </c>
      <c r="B15" s="18" t="n">
        <f aca="false">B14/(WACC!B18-B13)</f>
        <v>253054.82732791</v>
      </c>
    </row>
    <row r="16" customFormat="false" ht="15" hidden="false" customHeight="false" outlineLevel="0" collapsed="false">
      <c r="A16" s="5" t="s">
        <v>177</v>
      </c>
      <c r="B16" s="26" t="n">
        <f aca="false">1/(1+WACC!B18)^(B6+5)</f>
        <v>0.697797577985256</v>
      </c>
    </row>
    <row r="17" customFormat="false" ht="15" hidden="false" customHeight="false" outlineLevel="0" collapsed="false">
      <c r="A17" s="5" t="s">
        <v>178</v>
      </c>
      <c r="B17" s="18" t="n">
        <f aca="false">B15*B16</f>
        <v>176581.045606893</v>
      </c>
    </row>
    <row r="18" customFormat="false" ht="15" hidden="false" customHeight="false" outlineLevel="0" collapsed="false">
      <c r="A18" s="5" t="s">
        <v>179</v>
      </c>
      <c r="B18" s="27" t="n">
        <f aca="false">B15/Forecast!G12</f>
        <v>7.30976741102741</v>
      </c>
    </row>
    <row r="20" customFormat="false" ht="15" hidden="false" customHeight="false" outlineLevel="0" collapsed="false">
      <c r="A20" s="4" t="s">
        <v>180</v>
      </c>
    </row>
    <row r="21" customFormat="false" ht="15" hidden="false" customHeight="false" outlineLevel="0" collapsed="false">
      <c r="A21" s="5" t="s">
        <v>181</v>
      </c>
      <c r="B21" s="28" t="n">
        <f aca="false">Inputs!$B$75</f>
        <v>5.5</v>
      </c>
    </row>
    <row r="22" customFormat="false" ht="15" hidden="false" customHeight="false" outlineLevel="0" collapsed="false">
      <c r="A22" s="5" t="s">
        <v>176</v>
      </c>
      <c r="B22" s="18" t="n">
        <f aca="false">B21*Forecast!G12</f>
        <v>190402.987132512</v>
      </c>
    </row>
    <row r="23" customFormat="false" ht="15" hidden="false" customHeight="false" outlineLevel="0" collapsed="false">
      <c r="A23" s="5" t="s">
        <v>178</v>
      </c>
      <c r="B23" s="18" t="n">
        <f aca="false">B22*B16</f>
        <v>132862.743262225</v>
      </c>
    </row>
    <row r="24" customFormat="false" ht="15" hidden="false" customHeight="false" outlineLevel="0" collapsed="false">
      <c r="A24" s="5" t="s">
        <v>182</v>
      </c>
      <c r="B24" s="21" t="n">
        <f aca="false">(B22*WACC!B18-G5)/(B22+G5)</f>
        <v>-0.0151937091943154</v>
      </c>
    </row>
    <row r="26" customFormat="false" ht="15" hidden="false" customHeight="false" outlineLevel="0" collapsed="false">
      <c r="A26" s="7" t="s">
        <v>183</v>
      </c>
      <c r="B26" s="8" t="s">
        <v>184</v>
      </c>
      <c r="C26" s="8" t="s">
        <v>181</v>
      </c>
      <c r="D26" s="8"/>
      <c r="E26" s="8"/>
      <c r="F26" s="8"/>
      <c r="G26" s="8"/>
      <c r="H26" s="8" t="s">
        <v>38</v>
      </c>
    </row>
    <row r="27" customFormat="false" ht="15" hidden="false" customHeight="false" outlineLevel="0" collapsed="false">
      <c r="A27" s="5" t="s">
        <v>185</v>
      </c>
      <c r="B27" s="18" t="n">
        <f aca="false">SUM(B10:G10)</f>
        <v>73331.2740923936</v>
      </c>
      <c r="C27" s="18" t="n">
        <f aca="false">B27</f>
        <v>73331.2740923936</v>
      </c>
    </row>
    <row r="28" customFormat="false" ht="15" hidden="false" customHeight="false" outlineLevel="0" collapsed="false">
      <c r="A28" s="5" t="s">
        <v>178</v>
      </c>
      <c r="B28" s="18" t="n">
        <f aca="false">B17</f>
        <v>176581.045606893</v>
      </c>
      <c r="C28" s="18" t="n">
        <f aca="false">B23</f>
        <v>132862.743262225</v>
      </c>
    </row>
    <row r="29" customFormat="false" ht="15" hidden="false" customHeight="false" outlineLevel="0" collapsed="false">
      <c r="A29" s="19" t="s">
        <v>186</v>
      </c>
      <c r="B29" s="20" t="n">
        <f aca="false">B27+B28</f>
        <v>249912.319699287</v>
      </c>
      <c r="C29" s="20" t="n">
        <f aca="false">C27+C28</f>
        <v>206194.017354618</v>
      </c>
    </row>
    <row r="30" customFormat="false" ht="15" hidden="false" customHeight="false" outlineLevel="0" collapsed="false">
      <c r="A30" s="5" t="s">
        <v>187</v>
      </c>
      <c r="B30" s="21" t="n">
        <f aca="false">B28/B29</f>
        <v>0.706571992206582</v>
      </c>
      <c r="C30" s="21" t="n">
        <f aca="false">C28/C29</f>
        <v>0.64435789634829</v>
      </c>
    </row>
    <row r="31" customFormat="false" ht="15" hidden="false" customHeight="false" outlineLevel="0" collapsed="false">
      <c r="A31" s="5" t="s">
        <v>188</v>
      </c>
      <c r="B31" s="17" t="n">
        <f aca="false">-WACC!B9</f>
        <v>-79770</v>
      </c>
      <c r="C31" s="18" t="n">
        <f aca="false">B31</f>
        <v>-79770</v>
      </c>
    </row>
    <row r="32" customFormat="false" ht="15" hidden="false" customHeight="false" outlineLevel="0" collapsed="false">
      <c r="A32" s="5" t="s">
        <v>189</v>
      </c>
      <c r="B32" s="17" t="n">
        <f aca="false">-Inputs!$B$72</f>
        <v>-0</v>
      </c>
      <c r="C32" s="18" t="n">
        <f aca="false">B32</f>
        <v>-0</v>
      </c>
    </row>
    <row r="33" customFormat="false" ht="15" hidden="false" customHeight="false" outlineLevel="0" collapsed="false">
      <c r="A33" s="19" t="s">
        <v>190</v>
      </c>
      <c r="B33" s="20" t="n">
        <f aca="false">B29+B31+B32</f>
        <v>170142.319699287</v>
      </c>
      <c r="C33" s="20" t="n">
        <f aca="false">C29+C31+C32</f>
        <v>126424.017354618</v>
      </c>
    </row>
    <row r="34" customFormat="false" ht="15" hidden="false" customHeight="false" outlineLevel="0" collapsed="false">
      <c r="A34" s="5" t="s">
        <v>191</v>
      </c>
      <c r="B34" s="17" t="n">
        <f aca="false">Inputs!$B$69</f>
        <v>3551</v>
      </c>
      <c r="C34" s="18" t="n">
        <f aca="false">B34</f>
        <v>3551</v>
      </c>
    </row>
    <row r="35" customFormat="false" ht="15" hidden="false" customHeight="false" outlineLevel="0" collapsed="false">
      <c r="A35" s="19" t="s">
        <v>192</v>
      </c>
      <c r="B35" s="29" t="n">
        <f aca="false">B33/B34</f>
        <v>47.9139171217366</v>
      </c>
      <c r="C35" s="29" t="n">
        <f aca="false">C33/C34</f>
        <v>35.6023704180846</v>
      </c>
      <c r="H35" s="10" t="s">
        <v>193</v>
      </c>
    </row>
    <row r="36" customFormat="false" ht="15" hidden="false" customHeight="false" outlineLevel="0" collapsed="false">
      <c r="A36" s="5" t="s">
        <v>194</v>
      </c>
      <c r="B36" s="30" t="n">
        <f aca="false">Inputs!$B$68</f>
        <v>22.04</v>
      </c>
      <c r="C36" s="31" t="n">
        <f aca="false">B36</f>
        <v>22.04</v>
      </c>
    </row>
    <row r="37" customFormat="false" ht="15" hidden="false" customHeight="false" outlineLevel="0" collapsed="false">
      <c r="A37" s="5" t="s">
        <v>195</v>
      </c>
      <c r="B37" s="21" t="n">
        <f aca="false">B35/B36-1</f>
        <v>1.17395268247444</v>
      </c>
      <c r="C37" s="21" t="n">
        <f aca="false">C35/C36-1</f>
        <v>0.615352559804201</v>
      </c>
    </row>
    <row r="38" customFormat="false" ht="15" hidden="false" customHeight="false" outlineLevel="0" collapsed="false">
      <c r="A38" s="5" t="s">
        <v>196</v>
      </c>
      <c r="B38" s="18" t="n">
        <f aca="false">WACC!B8+WACC!B9+Inputs!$B$72</f>
        <v>158034.04</v>
      </c>
    </row>
    <row r="39" customFormat="false" ht="15" hidden="false" customHeight="false" outlineLevel="0" collapsed="false">
      <c r="A39" s="5" t="s">
        <v>197</v>
      </c>
      <c r="B39" s="27" t="n">
        <f aca="false">B38/Forecast!B12</f>
        <v>4.52236485906424</v>
      </c>
    </row>
    <row r="40" customFormat="false" ht="15" hidden="false" customHeight="false" outlineLevel="0" collapsed="false">
      <c r="A40" s="5" t="s">
        <v>198</v>
      </c>
      <c r="B40" s="27" t="n">
        <f aca="false">B29/Forecast!B12</f>
        <v>7.15159020458683</v>
      </c>
      <c r="C40" s="27" t="n">
        <f aca="false">C29/Forecast!B12</f>
        <v>5.90052989997477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1"/>
  </cols>
  <sheetData>
    <row r="1" customFormat="false" ht="17.35" hidden="false" customHeight="false" outlineLevel="0" collapsed="false">
      <c r="A1" s="1" t="s">
        <v>199</v>
      </c>
    </row>
    <row r="2" customFormat="false" ht="15" hidden="false" customHeight="false" outlineLevel="0" collapsed="false">
      <c r="A2" s="2" t="s">
        <v>1</v>
      </c>
    </row>
    <row r="4" customFormat="false" ht="15" hidden="false" customHeight="false" outlineLevel="0" collapsed="false">
      <c r="A4" s="4" t="s">
        <v>200</v>
      </c>
    </row>
    <row r="5" customFormat="false" ht="15" hidden="false" customHeight="false" outlineLevel="0" collapsed="false">
      <c r="A5" s="4" t="s">
        <v>201</v>
      </c>
      <c r="B5" s="12" t="n">
        <v>-0.02</v>
      </c>
      <c r="C5" s="12" t="n">
        <v>-0.01</v>
      </c>
      <c r="D5" s="12" t="n">
        <v>0</v>
      </c>
      <c r="E5" s="12" t="n">
        <v>0.005</v>
      </c>
      <c r="F5" s="12" t="n">
        <v>0.01</v>
      </c>
    </row>
    <row r="6" customFormat="false" ht="15" hidden="false" customHeight="false" outlineLevel="0" collapsed="false">
      <c r="A6" s="12" t="n">
        <v>0.06</v>
      </c>
      <c r="B6" s="31" t="n">
        <f aca="false">((SUMPRODUCT(DCF!$B$7:$G$7/(1+$A6)^DCF!$B$8:$G$8)+DCF!$G$5*(1+B$5)/($A6-B$5)/(1+$A6)^(DCF!$B$6+5))+DCF!$B$31+DCF!$B$32)/DCF!$B$34</f>
        <v>41.6328254764462</v>
      </c>
      <c r="C6" s="31" t="n">
        <f aca="false">((SUMPRODUCT(DCF!$B$7:$G$7/(1+$A6)^DCF!$B$8:$G$8)+DCF!$G$5*(1+C$5)/($A6-C$5)/(1+$A6)^(DCF!$B$6+5))+DCF!$B$31+DCF!$B$32)/DCF!$B$34</f>
        <v>48.2579406194008</v>
      </c>
      <c r="D6" s="31" t="n">
        <f aca="false">((SUMPRODUCT(DCF!$B$7:$G$7/(1+$A6)^DCF!$B$8:$G$8)+DCF!$G$5*(1+D$5)/($A6-D$5)/(1+$A6)^(DCF!$B$6+5))+DCF!$B$31+DCF!$B$32)/DCF!$B$34</f>
        <v>57.0914274766736</v>
      </c>
      <c r="E6" s="31" t="n">
        <f aca="false">((SUMPRODUCT(DCF!$B$7:$G$7/(1+$A6)^DCF!$B$8:$G$8)+DCF!$G$5*(1+E$5)/($A6-E$5)/(1+$A6)^(DCF!$B$6+5))+DCF!$B$31+DCF!$B$32)/DCF!$B$34</f>
        <v>62.7127372949382</v>
      </c>
      <c r="F6" s="31" t="n">
        <f aca="false">((SUMPRODUCT(DCF!$B$7:$G$7/(1+$A6)^DCF!$B$8:$G$8)+DCF!$G$5*(1+F$5)/($A6-F$5)/(1+$A6)^(DCF!$B$6+5))+DCF!$B$31+DCF!$B$32)/DCF!$B$34</f>
        <v>69.4583090768556</v>
      </c>
    </row>
    <row r="7" customFormat="false" ht="15" hidden="false" customHeight="false" outlineLevel="0" collapsed="false">
      <c r="A7" s="12" t="n">
        <v>0.065</v>
      </c>
      <c r="B7" s="31" t="n">
        <f aca="false">((SUMPRODUCT(DCF!$B$7:$G$7/(1+$A7)^DCF!$B$8:$G$8)+DCF!$G$5*(1+B$5)/($A7-B$5)/(1+$A7)^(DCF!$B$6+5))+DCF!$B$31+DCF!$B$32)/DCF!$B$34</f>
        <v>37.8918927210633</v>
      </c>
      <c r="C7" s="31" t="n">
        <f aca="false">((SUMPRODUCT(DCF!$B$7:$G$7/(1+$A7)^DCF!$B$8:$G$8)+DCF!$G$5*(1+C$5)/($A7-C$5)/(1+$A7)^(DCF!$B$6+5))+DCF!$B$31+DCF!$B$32)/DCF!$B$34</f>
        <v>43.5979744443981</v>
      </c>
      <c r="D7" s="31" t="n">
        <f aca="false">((SUMPRODUCT(DCF!$B$7:$G$7/(1+$A7)^DCF!$B$8:$G$8)+DCF!$G$5*(1+D$5)/($A7-D$5)/(1+$A7)^(DCF!$B$6+5))+DCF!$B$31+DCF!$B$32)/DCF!$B$34</f>
        <v>51.0597736210666</v>
      </c>
      <c r="E7" s="31" t="n">
        <f aca="false">((SUMPRODUCT(DCF!$B$7:$G$7/(1+$A7)^DCF!$B$8:$G$8)+DCF!$G$5*(1+E$5)/($A7-E$5)/(1+$A7)^(DCF!$B$6+5))+DCF!$B$31+DCF!$B$32)/DCF!$B$34</f>
        <v>55.7233981064844</v>
      </c>
      <c r="F7" s="31" t="n">
        <f aca="false">((SUMPRODUCT(DCF!$B$7:$G$7/(1+$A7)^DCF!$B$8:$G$8)+DCF!$G$5*(1+F$5)/($A7-F$5)/(1+$A7)^(DCF!$B$6+5))+DCF!$B$31+DCF!$B$32)/DCF!$B$34</f>
        <v>61.2349543165236</v>
      </c>
    </row>
    <row r="8" customFormat="false" ht="15" hidden="false" customHeight="false" outlineLevel="0" collapsed="false">
      <c r="A8" s="12" t="n">
        <v>0.07</v>
      </c>
      <c r="B8" s="31" t="n">
        <f aca="false">((SUMPRODUCT(DCF!$B$7:$G$7/(1+$A8)^DCF!$B$8:$G$8)+DCF!$G$5*(1+B$5)/($A8-B$5)/(1+$A8)^(DCF!$B$6+5))+DCF!$B$31+DCF!$B$32)/DCF!$B$34</f>
        <v>34.5706556203679</v>
      </c>
      <c r="C8" s="31" t="n">
        <f aca="false">((SUMPRODUCT(DCF!$B$7:$G$7/(1+$A8)^DCF!$B$8:$G$8)+DCF!$G$5*(1+C$5)/($A8-C$5)/(1+$A8)^(DCF!$B$6+5))+DCF!$B$31+DCF!$B$32)/DCF!$B$34</f>
        <v>39.5247298337063</v>
      </c>
      <c r="D8" s="31" t="n">
        <f aca="false">((SUMPRODUCT(DCF!$B$7:$G$7/(1+$A8)^DCF!$B$8:$G$8)+DCF!$G$5*(1+D$5)/($A8-D$5)/(1+$A8)^(DCF!$B$6+5))+DCF!$B$31+DCF!$B$32)/DCF!$B$34</f>
        <v>45.8942538222843</v>
      </c>
      <c r="E8" s="31" t="n">
        <f aca="false">((SUMPRODUCT(DCF!$B$7:$G$7/(1+$A8)^DCF!$B$8:$G$8)+DCF!$G$5*(1+E$5)/($A8-E$5)/(1+$A8)^(DCF!$B$6+5))+DCF!$B$31+DCF!$B$32)/DCF!$B$34</f>
        <v>49.8139608921785</v>
      </c>
      <c r="F8" s="31" t="n">
        <f aca="false">((SUMPRODUCT(DCF!$B$7:$G$7/(1+$A8)^DCF!$B$8:$G$8)+DCF!$G$5*(1+F$5)/($A8-F$5)/(1+$A8)^(DCF!$B$6+5))+DCF!$B$31+DCF!$B$32)/DCF!$B$34</f>
        <v>54.3869524737217</v>
      </c>
    </row>
    <row r="9" customFormat="false" ht="15" hidden="false" customHeight="false" outlineLevel="0" collapsed="false">
      <c r="A9" s="12" t="n">
        <v>0.075</v>
      </c>
      <c r="B9" s="31" t="n">
        <f aca="false">((SUMPRODUCT(DCF!$B$7:$G$7/(1+$A9)^DCF!$B$8:$G$8)+DCF!$G$5*(1+B$5)/($A9-B$5)/(1+$A9)^(DCF!$B$6+5))+DCF!$B$31+DCF!$B$32)/DCF!$B$34</f>
        <v>31.6026703861005</v>
      </c>
      <c r="C9" s="31" t="n">
        <f aca="false">((SUMPRODUCT(DCF!$B$7:$G$7/(1+$A9)^DCF!$B$8:$G$8)+DCF!$G$5*(1+C$5)/($A9-C$5)/(1+$A9)^(DCF!$B$6+5))+DCF!$B$31+DCF!$B$32)/DCF!$B$34</f>
        <v>35.9344767686739</v>
      </c>
      <c r="D9" s="31" t="n">
        <f aca="false">((SUMPRODUCT(DCF!$B$7:$G$7/(1+$A9)^DCF!$B$8:$G$8)+DCF!$G$5*(1+D$5)/($A9-D$5)/(1+$A9)^(DCF!$B$6+5))+DCF!$B$31+DCF!$B$32)/DCF!$B$34</f>
        <v>41.4214315199335</v>
      </c>
      <c r="E9" s="31" t="n">
        <f aca="false">((SUMPRODUCT(DCF!$B$7:$G$7/(1+$A9)^DCF!$B$8:$G$8)+DCF!$G$5*(1+E$5)/($A9-E$5)/(1+$A9)^(DCF!$B$6+5))+DCF!$B$31+DCF!$B$32)/DCF!$B$34</f>
        <v>44.7527969046269</v>
      </c>
      <c r="F9" s="31" t="n">
        <f aca="false">((SUMPRODUCT(DCF!$B$7:$G$7/(1+$A9)^DCF!$B$8:$G$8)+DCF!$G$5*(1+F$5)/($A9-F$5)/(1+$A9)^(DCF!$B$6+5))+DCF!$B$31+DCF!$B$32)/DCF!$B$34</f>
        <v>48.5966800408115</v>
      </c>
    </row>
    <row r="10" customFormat="false" ht="15" hidden="false" customHeight="false" outlineLevel="0" collapsed="false">
      <c r="A10" s="12" t="n">
        <v>0.08</v>
      </c>
      <c r="B10" s="31" t="n">
        <f aca="false">((SUMPRODUCT(DCF!$B$7:$G$7/(1+$A10)^DCF!$B$8:$G$8)+DCF!$G$5*(1+B$5)/($A10-B$5)/(1+$A10)^(DCF!$B$6+5))+DCF!$B$31+DCF!$B$32)/DCF!$B$34</f>
        <v>28.9347896161671</v>
      </c>
      <c r="C10" s="31" t="n">
        <f aca="false">((SUMPRODUCT(DCF!$B$7:$G$7/(1+$A10)^DCF!$B$8:$G$8)+DCF!$G$5*(1+C$5)/($A10-C$5)/(1+$A10)^(DCF!$B$6+5))+DCF!$B$31+DCF!$B$32)/DCF!$B$34</f>
        <v>32.7465446995354</v>
      </c>
      <c r="D10" s="31" t="n">
        <f aca="false">((SUMPRODUCT(DCF!$B$7:$G$7/(1+$A10)^DCF!$B$8:$G$8)+DCF!$G$5*(1+D$5)/($A10-D$5)/(1+$A10)^(DCF!$B$6+5))+DCF!$B$31+DCF!$B$32)/DCF!$B$34</f>
        <v>37.5112385537457</v>
      </c>
      <c r="E10" s="31" t="n">
        <f aca="false">((SUMPRODUCT(DCF!$B$7:$G$7/(1+$A10)^DCF!$B$8:$G$8)+DCF!$G$5*(1+E$5)/($A10-E$5)/(1+$A10)^(DCF!$B$6+5))+DCF!$B$31+DCF!$B$32)/DCF!$B$34</f>
        <v>40.370054866272</v>
      </c>
      <c r="F10" s="31" t="n">
        <f aca="false">((SUMPRODUCT(DCF!$B$7:$G$7/(1+$A10)^DCF!$B$8:$G$8)+DCF!$G$5*(1+F$5)/($A10-F$5)/(1+$A10)^(DCF!$B$6+5))+DCF!$B$31+DCF!$B$32)/DCF!$B$34</f>
        <v>43.6372735091591</v>
      </c>
    </row>
    <row r="11" customFormat="false" ht="15" hidden="false" customHeight="false" outlineLevel="0" collapsed="false">
      <c r="A11" s="12" t="n">
        <v>0.085</v>
      </c>
      <c r="B11" s="31" t="n">
        <f aca="false">((SUMPRODUCT(DCF!$B$7:$G$7/(1+$A11)^DCF!$B$8:$G$8)+DCF!$G$5*(1+B$5)/($A11-B$5)/(1+$A11)^(DCF!$B$6+5))+DCF!$B$31+DCF!$B$32)/DCF!$B$34</f>
        <v>26.5239961387316</v>
      </c>
      <c r="C11" s="31" t="n">
        <f aca="false">((SUMPRODUCT(DCF!$B$7:$G$7/(1+$A11)^DCF!$B$8:$G$8)+DCF!$G$5*(1+C$5)/($A11-C$5)/(1+$A11)^(DCF!$B$6+5))+DCF!$B$31+DCF!$B$32)/DCF!$B$34</f>
        <v>29.8972538802396</v>
      </c>
      <c r="D11" s="31" t="n">
        <f aca="false">((SUMPRODUCT(DCF!$B$7:$G$7/(1+$A11)^DCF!$B$8:$G$8)+DCF!$G$5*(1+D$5)/($A11-D$5)/(1+$A11)^(DCF!$B$6+5))+DCF!$B$31+DCF!$B$32)/DCF!$B$34</f>
        <v>34.0642193256319</v>
      </c>
      <c r="E11" s="31" t="n">
        <f aca="false">((SUMPRODUCT(DCF!$B$7:$G$7/(1+$A11)^DCF!$B$8:$G$8)+DCF!$G$5*(1+E$5)/($A11-E$5)/(1+$A11)^(DCF!$B$6+5))+DCF!$B$31+DCF!$B$32)/DCF!$B$34</f>
        <v>36.5383550588335</v>
      </c>
      <c r="F11" s="31" t="n">
        <f aca="false">((SUMPRODUCT(DCF!$B$7:$G$7/(1+$A11)^DCF!$B$8:$G$8)+DCF!$G$5*(1+F$5)/($A11-F$5)/(1+$A11)^(DCF!$B$6+5))+DCF!$B$31+DCF!$B$32)/DCF!$B$34</f>
        <v>39.342375556462</v>
      </c>
    </row>
    <row r="12" customFormat="false" ht="15" hidden="false" customHeight="false" outlineLevel="0" collapsed="false">
      <c r="A12" s="12" t="n">
        <v>0.09</v>
      </c>
      <c r="B12" s="31" t="n">
        <f aca="false">((SUMPRODUCT(DCF!$B$7:$G$7/(1+$A12)^DCF!$B$8:$G$8)+DCF!$G$5*(1+B$5)/($A12-B$5)/(1+$A12)^(DCF!$B$6+5))+DCF!$B$31+DCF!$B$32)/DCF!$B$34</f>
        <v>24.3351003705299</v>
      </c>
      <c r="C12" s="31" t="n">
        <f aca="false">((SUMPRODUCT(DCF!$B$7:$G$7/(1+$A12)^DCF!$B$8:$G$8)+DCF!$G$5*(1+C$5)/($A12-C$5)/(1+$A12)^(DCF!$B$6+5))+DCF!$B$31+DCF!$B$32)/DCF!$B$34</f>
        <v>27.3356673216572</v>
      </c>
      <c r="D12" s="31" t="n">
        <f aca="false">((SUMPRODUCT(DCF!$B$7:$G$7/(1+$A12)^DCF!$B$8:$G$8)+DCF!$G$5*(1+D$5)/($A12-D$5)/(1+$A12)^(DCF!$B$6+5))+DCF!$B$31+DCF!$B$32)/DCF!$B$34</f>
        <v>31.0030269285907</v>
      </c>
      <c r="E12" s="31" t="n">
        <f aca="false">((SUMPRODUCT(DCF!$B$7:$G$7/(1+$A12)^DCF!$B$8:$G$8)+DCF!$G$5*(1+E$5)/($A12-E$5)/(1+$A12)^(DCF!$B$6+5))+DCF!$B$31+DCF!$B$32)/DCF!$B$34</f>
        <v>33.1602972856103</v>
      </c>
      <c r="F12" s="31" t="n">
        <f aca="false">((SUMPRODUCT(DCF!$B$7:$G$7/(1+$A12)^DCF!$B$8:$G$8)+DCF!$G$5*(1+F$5)/($A12-F$5)/(1+$A12)^(DCF!$B$6+5))+DCF!$B$31+DCF!$B$32)/DCF!$B$34</f>
        <v>35.5872264372575</v>
      </c>
    </row>
    <row r="15" customFormat="false" ht="15" hidden="false" customHeight="false" outlineLevel="0" collapsed="false">
      <c r="A15" s="4" t="s">
        <v>202</v>
      </c>
    </row>
    <row r="16" customFormat="false" ht="15" hidden="false" customHeight="false" outlineLevel="0" collapsed="false">
      <c r="A16" s="4" t="s">
        <v>203</v>
      </c>
      <c r="B16" s="16" t="n">
        <v>4</v>
      </c>
      <c r="C16" s="16" t="n">
        <v>4.5</v>
      </c>
      <c r="D16" s="16" t="n">
        <v>5</v>
      </c>
      <c r="E16" s="16" t="n">
        <v>5.5</v>
      </c>
      <c r="F16" s="16" t="n">
        <v>6</v>
      </c>
    </row>
    <row r="17" customFormat="false" ht="15" hidden="false" customHeight="false" outlineLevel="0" collapsed="false">
      <c r="A17" s="12" t="n">
        <v>0.06</v>
      </c>
      <c r="B17" s="31" t="n">
        <f aca="false">((SUMPRODUCT(DCF!$B$7:$G$7/(1+$A17)^DCF!$B$8:$G$8)+B$16*Forecast!$G$12/(1+$A17)^(DCF!$B$6+5))+DCF!$B$31+DCF!$B$32)/DCF!$B$34</f>
        <v>27.576348349005</v>
      </c>
      <c r="C17" s="31" t="n">
        <f aca="false">((SUMPRODUCT(DCF!$B$7:$G$7/(1+$A17)^DCF!$B$8:$G$8)+C$16*Forecast!$G$12/(1+$A17)^(DCF!$B$6+5))+DCF!$B$31+DCF!$B$32)/DCF!$B$34</f>
        <v>31.1787568543801</v>
      </c>
      <c r="D17" s="31" t="n">
        <f aca="false">((SUMPRODUCT(DCF!$B$7:$G$7/(1+$A17)^DCF!$B$8:$G$8)+D$16*Forecast!$G$12/(1+$A17)^(DCF!$B$6+5))+DCF!$B$31+DCF!$B$32)/DCF!$B$34</f>
        <v>34.7811653597552</v>
      </c>
      <c r="E17" s="31" t="n">
        <f aca="false">((SUMPRODUCT(DCF!$B$7:$G$7/(1+$A17)^DCF!$B$8:$G$8)+E$16*Forecast!$G$12/(1+$A17)^(DCF!$B$6+5))+DCF!$B$31+DCF!$B$32)/DCF!$B$34</f>
        <v>38.3835738651304</v>
      </c>
      <c r="F17" s="31" t="n">
        <f aca="false">((SUMPRODUCT(DCF!$B$7:$G$7/(1+$A17)^DCF!$B$8:$G$8)+F$16*Forecast!$G$12/(1+$A17)^(DCF!$B$6+5))+DCF!$B$31+DCF!$B$32)/DCF!$B$34</f>
        <v>41.9859823705055</v>
      </c>
    </row>
    <row r="18" customFormat="false" ht="15" hidden="false" customHeight="false" outlineLevel="0" collapsed="false">
      <c r="A18" s="12" t="n">
        <v>0.065</v>
      </c>
      <c r="B18" s="31" t="n">
        <f aca="false">((SUMPRODUCT(DCF!$B$7:$G$7/(1+$A18)^DCF!$B$8:$G$8)+B$16*Forecast!$G$12/(1+$A18)^(DCF!$B$6+5))+DCF!$B$31+DCF!$B$32)/DCF!$B$34</f>
        <v>26.6358165512144</v>
      </c>
      <c r="C18" s="31" t="n">
        <f aca="false">((SUMPRODUCT(DCF!$B$7:$G$7/(1+$A18)^DCF!$B$8:$G$8)+C$16*Forecast!$G$12/(1+$A18)^(DCF!$B$6+5))+DCF!$B$31+DCF!$B$32)/DCF!$B$34</f>
        <v>30.1513071082122</v>
      </c>
      <c r="D18" s="31" t="n">
        <f aca="false">((SUMPRODUCT(DCF!$B$7:$G$7/(1+$A18)^DCF!$B$8:$G$8)+D$16*Forecast!$G$12/(1+$A18)^(DCF!$B$6+5))+DCF!$B$31+DCF!$B$32)/DCF!$B$34</f>
        <v>33.66679766521</v>
      </c>
      <c r="E18" s="31" t="n">
        <f aca="false">((SUMPRODUCT(DCF!$B$7:$G$7/(1+$A18)^DCF!$B$8:$G$8)+E$16*Forecast!$G$12/(1+$A18)^(DCF!$B$6+5))+DCF!$B$31+DCF!$B$32)/DCF!$B$34</f>
        <v>37.1822882222078</v>
      </c>
      <c r="F18" s="31" t="n">
        <f aca="false">((SUMPRODUCT(DCF!$B$7:$G$7/(1+$A18)^DCF!$B$8:$G$8)+F$16*Forecast!$G$12/(1+$A18)^(DCF!$B$6+5))+DCF!$B$31+DCF!$B$32)/DCF!$B$34</f>
        <v>40.6977787792055</v>
      </c>
    </row>
    <row r="19" customFormat="false" ht="15" hidden="false" customHeight="false" outlineLevel="0" collapsed="false">
      <c r="A19" s="12" t="n">
        <v>0.07</v>
      </c>
      <c r="B19" s="31" t="n">
        <f aca="false">((SUMPRODUCT(DCF!$B$7:$G$7/(1+$A19)^DCF!$B$8:$G$8)+B$16*Forecast!$G$12/(1+$A19)^(DCF!$B$6+5))+DCF!$B$31+DCF!$B$32)/DCF!$B$34</f>
        <v>25.7201423287625</v>
      </c>
      <c r="C19" s="31" t="n">
        <f aca="false">((SUMPRODUCT(DCF!$B$7:$G$7/(1+$A19)^DCF!$B$8:$G$8)+C$16*Forecast!$G$12/(1+$A19)^(DCF!$B$6+5))+DCF!$B$31+DCF!$B$32)/DCF!$B$34</f>
        <v>29.1512045496218</v>
      </c>
      <c r="D19" s="31" t="n">
        <f aca="false">((SUMPRODUCT(DCF!$B$7:$G$7/(1+$A19)^DCF!$B$8:$G$8)+D$16*Forecast!$G$12/(1+$A19)^(DCF!$B$6+5))+DCF!$B$31+DCF!$B$32)/DCF!$B$34</f>
        <v>32.5822667704811</v>
      </c>
      <c r="E19" s="31" t="n">
        <f aca="false">((SUMPRODUCT(DCF!$B$7:$G$7/(1+$A19)^DCF!$B$8:$G$8)+E$16*Forecast!$G$12/(1+$A19)^(DCF!$B$6+5))+DCF!$B$31+DCF!$B$32)/DCF!$B$34</f>
        <v>36.0133289913404</v>
      </c>
      <c r="F19" s="31" t="n">
        <f aca="false">((SUMPRODUCT(DCF!$B$7:$G$7/(1+$A19)^DCF!$B$8:$G$8)+F$16*Forecast!$G$12/(1+$A19)^(DCF!$B$6+5))+DCF!$B$31+DCF!$B$32)/DCF!$B$34</f>
        <v>39.4443912121997</v>
      </c>
    </row>
    <row r="20" customFormat="false" ht="15" hidden="false" customHeight="false" outlineLevel="0" collapsed="false">
      <c r="A20" s="12" t="n">
        <v>0.075</v>
      </c>
      <c r="B20" s="31" t="n">
        <f aca="false">((SUMPRODUCT(DCF!$B$7:$G$7/(1+$A20)^DCF!$B$8:$G$8)+B$16*Forecast!$G$12/(1+$A20)^(DCF!$B$6+5))+DCF!$B$31+DCF!$B$32)/DCF!$B$34</f>
        <v>24.8285362911383</v>
      </c>
      <c r="C20" s="31" t="n">
        <f aca="false">((SUMPRODUCT(DCF!$B$7:$G$7/(1+$A20)^DCF!$B$8:$G$8)+C$16*Forecast!$G$12/(1+$A20)^(DCF!$B$6+5))+DCF!$B$31+DCF!$B$32)/DCF!$B$34</f>
        <v>28.1775773393653</v>
      </c>
      <c r="D20" s="31" t="n">
        <f aca="false">((SUMPRODUCT(DCF!$B$7:$G$7/(1+$A20)^DCF!$B$8:$G$8)+D$16*Forecast!$G$12/(1+$A20)^(DCF!$B$6+5))+DCF!$B$31+DCF!$B$32)/DCF!$B$34</f>
        <v>31.5266183875922</v>
      </c>
      <c r="E20" s="31" t="n">
        <f aca="false">((SUMPRODUCT(DCF!$B$7:$G$7/(1+$A20)^DCF!$B$8:$G$8)+E$16*Forecast!$G$12/(1+$A20)^(DCF!$B$6+5))+DCF!$B$31+DCF!$B$32)/DCF!$B$34</f>
        <v>34.8756594358192</v>
      </c>
      <c r="F20" s="31" t="n">
        <f aca="false">((SUMPRODUCT(DCF!$B$7:$G$7/(1+$A20)^DCF!$B$8:$G$8)+F$16*Forecast!$G$12/(1+$A20)^(DCF!$B$6+5))+DCF!$B$31+DCF!$B$32)/DCF!$B$34</f>
        <v>38.2247004840462</v>
      </c>
    </row>
    <row r="21" customFormat="false" ht="15" hidden="false" customHeight="false" outlineLevel="0" collapsed="false">
      <c r="A21" s="12" t="n">
        <v>0.08</v>
      </c>
      <c r="B21" s="31" t="n">
        <f aca="false">((SUMPRODUCT(DCF!$B$7:$G$7/(1+$A21)^DCF!$B$8:$G$8)+B$16*Forecast!$G$12/(1+$A21)^(DCF!$B$6+5))+DCF!$B$31+DCF!$B$32)/DCF!$B$34</f>
        <v>23.9602379257771</v>
      </c>
      <c r="C21" s="31" t="n">
        <f aca="false">((SUMPRODUCT(DCF!$B$7:$G$7/(1+$A21)^DCF!$B$8:$G$8)+C$16*Forecast!$G$12/(1+$A21)^(DCF!$B$6+5))+DCF!$B$31+DCF!$B$32)/DCF!$B$34</f>
        <v>27.2295856120835</v>
      </c>
      <c r="D21" s="31" t="n">
        <f aca="false">((SUMPRODUCT(DCF!$B$7:$G$7/(1+$A21)^DCF!$B$8:$G$8)+D$16*Forecast!$G$12/(1+$A21)^(DCF!$B$6+5))+DCF!$B$31+DCF!$B$32)/DCF!$B$34</f>
        <v>30.4989332983899</v>
      </c>
      <c r="E21" s="31" t="n">
        <f aca="false">((SUMPRODUCT(DCF!$B$7:$G$7/(1+$A21)^DCF!$B$8:$G$8)+E$16*Forecast!$G$12/(1+$A21)^(DCF!$B$6+5))+DCF!$B$31+DCF!$B$32)/DCF!$B$34</f>
        <v>33.7682809846963</v>
      </c>
      <c r="F21" s="31" t="n">
        <f aca="false">((SUMPRODUCT(DCF!$B$7:$G$7/(1+$A21)^DCF!$B$8:$G$8)+F$16*Forecast!$G$12/(1+$A21)^(DCF!$B$6+5))+DCF!$B$31+DCF!$B$32)/DCF!$B$34</f>
        <v>37.0376286710027</v>
      </c>
    </row>
    <row r="22" customFormat="false" ht="15" hidden="false" customHeight="false" outlineLevel="0" collapsed="false">
      <c r="A22" s="12" t="n">
        <v>0.085</v>
      </c>
      <c r="B22" s="31" t="n">
        <f aca="false">((SUMPRODUCT(DCF!$B$7:$G$7/(1+$A22)^DCF!$B$8:$G$8)+B$16*Forecast!$G$12/(1+$A22)^(DCF!$B$6+5))+DCF!$B$31+DCF!$B$32)/DCF!$B$34</f>
        <v>23.1145144084086</v>
      </c>
      <c r="C22" s="31" t="n">
        <f aca="false">((SUMPRODUCT(DCF!$B$7:$G$7/(1+$A22)^DCF!$B$8:$G$8)+C$16*Forecast!$G$12/(1+$A22)^(DCF!$B$6+5))+DCF!$B$31+DCF!$B$32)/DCF!$B$34</f>
        <v>26.3064201568002</v>
      </c>
      <c r="D22" s="31" t="n">
        <f aca="false">((SUMPRODUCT(DCF!$B$7:$G$7/(1+$A22)^DCF!$B$8:$G$8)+D$16*Forecast!$G$12/(1+$A22)^(DCF!$B$6+5))+DCF!$B$31+DCF!$B$32)/DCF!$B$34</f>
        <v>29.4983259051918</v>
      </c>
      <c r="E22" s="31" t="n">
        <f aca="false">((SUMPRODUCT(DCF!$B$7:$G$7/(1+$A22)^DCF!$B$8:$G$8)+E$16*Forecast!$G$12/(1+$A22)^(DCF!$B$6+5))+DCF!$B$31+DCF!$B$32)/DCF!$B$34</f>
        <v>32.6902316535834</v>
      </c>
      <c r="F22" s="31" t="n">
        <f aca="false">((SUMPRODUCT(DCF!$B$7:$G$7/(1+$A22)^DCF!$B$8:$G$8)+F$16*Forecast!$G$12/(1+$A22)^(DCF!$B$6+5))+DCF!$B$31+DCF!$B$32)/DCF!$B$34</f>
        <v>35.8821374019751</v>
      </c>
    </row>
    <row r="23" customFormat="false" ht="15" hidden="false" customHeight="false" outlineLevel="0" collapsed="false">
      <c r="A23" s="12" t="n">
        <v>0.09</v>
      </c>
      <c r="B23" s="31" t="n">
        <f aca="false">((SUMPRODUCT(DCF!$B$7:$G$7/(1+$A23)^DCF!$B$8:$G$8)+B$16*Forecast!$G$12/(1+$A23)^(DCF!$B$6+5))+DCF!$B$31+DCF!$B$32)/DCF!$B$34</f>
        <v>22.2906594677583</v>
      </c>
      <c r="C23" s="31" t="n">
        <f aca="false">((SUMPRODUCT(DCF!$B$7:$G$7/(1+$A23)^DCF!$B$8:$G$8)+C$16*Forecast!$G$12/(1+$A23)^(DCF!$B$6+5))+DCF!$B$31+DCF!$B$32)/DCF!$B$34</f>
        <v>25.4073011577844</v>
      </c>
      <c r="D23" s="31" t="n">
        <f aca="false">((SUMPRODUCT(DCF!$B$7:$G$7/(1+$A23)^DCF!$B$8:$G$8)+D$16*Forecast!$G$12/(1+$A23)^(DCF!$B$6+5))+DCF!$B$31+DCF!$B$32)/DCF!$B$34</f>
        <v>28.5239428478105</v>
      </c>
      <c r="E23" s="31" t="n">
        <f aca="false">((SUMPRODUCT(DCF!$B$7:$G$7/(1+$A23)^DCF!$B$8:$G$8)+E$16*Forecast!$G$12/(1+$A23)^(DCF!$B$6+5))+DCF!$B$31+DCF!$B$32)/DCF!$B$34</f>
        <v>31.6405845378365</v>
      </c>
      <c r="F23" s="31" t="n">
        <f aca="false">((SUMPRODUCT(DCF!$B$7:$G$7/(1+$A23)^DCF!$B$8:$G$8)+F$16*Forecast!$G$12/(1+$A23)^(DCF!$B$6+5))+DCF!$B$31+DCF!$B$32)/DCF!$B$34</f>
        <v>34.7572262278626</v>
      </c>
    </row>
    <row r="26" customFormat="false" ht="15" hidden="false" customHeight="false" outlineLevel="0" collapsed="false">
      <c r="A26" s="4" t="s">
        <v>204</v>
      </c>
    </row>
    <row r="27" customFormat="false" ht="15" hidden="false" customHeight="false" outlineLevel="0" collapsed="false">
      <c r="A27" s="4" t="s">
        <v>205</v>
      </c>
      <c r="B27" s="4" t="s">
        <v>206</v>
      </c>
      <c r="C27" s="4" t="s">
        <v>207</v>
      </c>
      <c r="D27" s="4" t="s">
        <v>208</v>
      </c>
    </row>
    <row r="28" customFormat="false" ht="15" hidden="false" customHeight="false" outlineLevel="0" collapsed="false">
      <c r="A28" s="5" t="s">
        <v>209</v>
      </c>
      <c r="B28" s="9" t="n">
        <v>34618.724933184</v>
      </c>
      <c r="C28" s="15" t="n">
        <v>47.9139171217366</v>
      </c>
      <c r="D28" s="15" t="n">
        <v>35.6023704180846</v>
      </c>
    </row>
    <row r="29" customFormat="false" ht="15" hidden="false" customHeight="false" outlineLevel="0" collapsed="false">
      <c r="A29" s="5" t="s">
        <v>210</v>
      </c>
      <c r="B29" s="9" t="n">
        <v>27851.3635965</v>
      </c>
      <c r="C29" s="15" t="n">
        <v>29.1323349468299</v>
      </c>
      <c r="D29" s="15" t="n">
        <v>23.9326623799805</v>
      </c>
    </row>
    <row r="30" customFormat="false" ht="15" hidden="false" customHeight="false" outlineLevel="0" collapsed="false">
      <c r="A30" s="5" t="s">
        <v>211</v>
      </c>
      <c r="B30" s="9" t="n">
        <v>39482.02625925</v>
      </c>
      <c r="C30" s="15" t="n">
        <v>62.1907399734594</v>
      </c>
      <c r="D30" s="15" t="n">
        <v>44.0840544655592</v>
      </c>
    </row>
    <row r="32" customFormat="false" ht="15" hidden="false" customHeight="false" outlineLevel="0" collapsed="false">
      <c r="A32" s="5" t="s">
        <v>212</v>
      </c>
      <c r="B32" s="30" t="n">
        <f aca="false">Inputs!$B$68</f>
        <v>22.04</v>
      </c>
    </row>
    <row r="33" customFormat="false" ht="15" hidden="false" customHeight="false" outlineLevel="0" collapsed="false">
      <c r="A33" s="2"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0"/>
  </cols>
  <sheetData>
    <row r="1" customFormat="false" ht="17.35" hidden="false" customHeight="false" outlineLevel="0" collapsed="false">
      <c r="A1" s="1" t="s">
        <v>214</v>
      </c>
    </row>
    <row r="2" customFormat="false" ht="15" hidden="false" customHeight="false" outlineLevel="0" collapsed="false">
      <c r="A2" s="2" t="s">
        <v>1</v>
      </c>
    </row>
    <row r="4" customFormat="false" ht="15" hidden="false" customHeight="false" outlineLevel="0" collapsed="false">
      <c r="A4" s="7" t="s">
        <v>215</v>
      </c>
      <c r="B4" s="8" t="s">
        <v>13</v>
      </c>
    </row>
    <row r="5" customFormat="false" ht="15" hidden="false" customHeight="false" outlineLevel="0" collapsed="false">
      <c r="A5" s="5" t="n">
        <v>1</v>
      </c>
      <c r="B5" s="5" t="s">
        <v>216</v>
      </c>
    </row>
    <row r="6" customFormat="false" ht="15" hidden="false" customHeight="false" outlineLevel="0" collapsed="false">
      <c r="A6" s="5" t="n">
        <v>2</v>
      </c>
      <c r="B6" s="5" t="s">
        <v>217</v>
      </c>
    </row>
    <row r="7" customFormat="false" ht="15" hidden="false" customHeight="false" outlineLevel="0" collapsed="false">
      <c r="A7" s="5" t="n">
        <v>3</v>
      </c>
      <c r="B7" s="5" t="s">
        <v>218</v>
      </c>
    </row>
    <row r="8" customFormat="false" ht="15" hidden="false" customHeight="false" outlineLevel="0" collapsed="false">
      <c r="A8" s="5" t="n">
        <v>4</v>
      </c>
      <c r="B8" s="5" t="s">
        <v>219</v>
      </c>
    </row>
    <row r="9" customFormat="false" ht="15" hidden="false" customHeight="false" outlineLevel="0" collapsed="false">
      <c r="A9" s="5" t="n">
        <v>5</v>
      </c>
      <c r="B9" s="5" t="s">
        <v>220</v>
      </c>
    </row>
    <row r="10" customFormat="false" ht="15" hidden="false" customHeight="false" outlineLevel="0" collapsed="false">
      <c r="A10" s="5" t="n">
        <v>6</v>
      </c>
      <c r="B10" s="5" t="s">
        <v>221</v>
      </c>
    </row>
    <row r="11" customFormat="false" ht="15" hidden="false" customHeight="false" outlineLevel="0" collapsed="false">
      <c r="A11" s="5" t="n">
        <v>7</v>
      </c>
      <c r="B11" s="5" t="s">
        <v>222</v>
      </c>
    </row>
    <row r="12" customFormat="false" ht="15" hidden="false" customHeight="false" outlineLevel="0" collapsed="false">
      <c r="A12" s="5" t="n">
        <v>8</v>
      </c>
      <c r="B12" s="5" t="s">
        <v>223</v>
      </c>
    </row>
    <row r="13" customFormat="false" ht="15" hidden="false" customHeight="false" outlineLevel="0" collapsed="false">
      <c r="A13" s="5" t="n">
        <v>9</v>
      </c>
      <c r="B13" s="5" t="s">
        <v>224</v>
      </c>
    </row>
    <row r="14" customFormat="false" ht="15" hidden="false" customHeight="false" outlineLevel="0" collapsed="false">
      <c r="A14" s="5" t="n">
        <v>10</v>
      </c>
      <c r="B14" s="5" t="s">
        <v>225</v>
      </c>
    </row>
    <row r="15" customFormat="false" ht="15" hidden="false" customHeight="false" outlineLevel="0" collapsed="false">
      <c r="A15" s="5" t="n">
        <v>11</v>
      </c>
      <c r="B15" s="5" t="s">
        <v>226</v>
      </c>
    </row>
    <row r="16" customFormat="false" ht="15" hidden="false" customHeight="false" outlineLevel="0" collapsed="false">
      <c r="A16" s="5" t="n">
        <v>12</v>
      </c>
      <c r="B16" s="5" t="s">
        <v>227</v>
      </c>
    </row>
    <row r="17" customFormat="false" ht="15" hidden="false" customHeight="false" outlineLevel="0" collapsed="false">
      <c r="A17" s="5" t="n">
        <v>13</v>
      </c>
      <c r="B17" s="5" t="s">
        <v>228</v>
      </c>
    </row>
    <row r="18" customFormat="false" ht="15" hidden="false" customHeight="false" outlineLevel="0" collapsed="false">
      <c r="A18" s="5" t="n">
        <v>14</v>
      </c>
      <c r="B18" s="5" t="s">
        <v>229</v>
      </c>
    </row>
    <row r="20" customFormat="false" ht="15" hidden="false" customHeight="false" outlineLevel="0" collapsed="false">
      <c r="B20" s="2" t="s">
        <v>230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2026-10-25T00:49:20Z</dcterms:created>
  <dc:creator>openpyxl</dc:creator>
  <dc:description/>
  <dc:language>en-US</dc:language>
  <cp:lastModifiedBy/>
  <dcterms:modified xsi:type="dcterms:W3CDTF">2026-10-25T00:49:20Z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