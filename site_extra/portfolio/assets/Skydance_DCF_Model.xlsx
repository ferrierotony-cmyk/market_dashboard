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Historical" sheetId="3" state="visible" r:id="rId5"/>
    <sheet name="Forecast" sheetId="4" state="visible" r:id="rId6"/>
    <sheet name="WACC" sheetId="5" state="visible" r:id="rId7"/>
    <sheet name="DCF" sheetId="6" state="visible" r:id="rId8"/>
    <sheet name="Sensitivity"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1 = Base, 2 = Bear, 3 = Management case</t>
        </r>
      </text>
    </comment>
  </commentList>
</comments>
</file>

<file path=xl/sharedStrings.xml><?xml version="1.0" encoding="utf-8"?>
<sst xmlns="http://schemas.openxmlformats.org/spreadsheetml/2006/main" count="342" uniqueCount="278">
  <si>
    <t xml:space="preserve">Skydance Corporation DCF: read me first</t>
  </si>
  <si>
    <t xml:space="preserve">Skydance Corporation (NYSE: SKYD), pro forma for Warner Bros. Discovery. USD millions unless labelled. Blue = input, black = formula, green = link to another sheet.</t>
  </si>
  <si>
    <t xml:space="preserve">What this is: a discounted cash flow model of Skydance Corporation, the company formed when Paramount Skydance closed its purchase of Warner Bros. Discovery on October 6, 2026.</t>
  </si>
  <si>
    <t xml:space="preserve">Basis: pro forma combined. Paramount Skydance's filed results plus Warner Bros. Discovery's filed results, with the merger financing and share count from the October 2026 8-Ks.</t>
  </si>
  <si>
    <t xml:space="preserve">Built: October 24, 2026, from public SEC filings, company releases, a Debtwire credit report and market data as of the October 23, 2026 close. No Bloomberg data and nothing from any employer.</t>
  </si>
  <si>
    <t xml:space="preserve">How to use it: change blue cells on the Inputs sheet only. Pick a scenario in Inputs!C5 (1 = Base, 2 = Bear, 3 = Management). Everything else recalculates.</t>
  </si>
  <si>
    <t xml:space="preserve">Output: DCF sheet shows enterprise value, the bridge to equity and an implied value per share next to the market price. Sensitivity sheet shows how that moves with the discount rate, long term growth and the exit multiple.</t>
  </si>
  <si>
    <t xml:space="preserve">What this is not: a recommendation to buy or sell anything. It is a model with stated assumptions. The first combined quarter has not been reported, so the pro forma base is an estimate built from two separate companies' filings.</t>
  </si>
  <si>
    <t xml:space="preserve">Biggest judgments, in order of how much they move the answer: (1) how much of the $6 billion synergy target is realized and when, (2) how fast linear television revenue declines, (3) the discount rate on a company with about $84 billion of net debt, (4) cash content spend, which sits inside working capital here.</t>
  </si>
  <si>
    <t xml:space="preserve">Sheets: Inputs, Historical, Forecast, WACC, DCF, Sensitivity, Sources.</t>
  </si>
  <si>
    <t xml:space="preserve">Inputs and scenarios</t>
  </si>
  <si>
    <t xml:space="preserve">Scenario selector</t>
  </si>
  <si>
    <t xml:space="preserve">Active scenario (1 Base, 2 Bear, 3 Management)</t>
  </si>
  <si>
    <t xml:space="preserve">Active scenario name</t>
  </si>
  <si>
    <t xml:space="preserve">Pro forma 2025 base (USD m)</t>
  </si>
  <si>
    <t xml:space="preserve">Paramount</t>
  </si>
  <si>
    <t xml:space="preserve">WBD</t>
  </si>
  <si>
    <t xml:space="preserve">Combined</t>
  </si>
  <si>
    <t xml:space="preserve">Source</t>
  </si>
  <si>
    <t xml:space="preserve">Revenue 2025</t>
  </si>
  <si>
    <t xml:space="preserve">Paramount FY2025 combined Predecessor plus Successor [3]; WBD FY2025 [17]</t>
  </si>
  <si>
    <t xml:space="preserve">Adjusted EBITDA 2025 (before stock comp)</t>
  </si>
  <si>
    <t xml:space="preserve">Paramount adjusted OIBDA 3,076 plus SBC 273 [3]; WBD adjusted EBITDA [17]</t>
  </si>
  <si>
    <t xml:space="preserve">Stock based compensation 2025</t>
  </si>
  <si>
    <t xml:space="preserve">Paramount [3]; WBD estimate, not disclosed in sources read, flagged</t>
  </si>
  <si>
    <t xml:space="preserve">Capital expenditures 2025</t>
  </si>
  <si>
    <t xml:space="preserve">Paramount [3]; WBD run rate of about 275 a quarter [18]</t>
  </si>
  <si>
    <t xml:space="preserve">Depreciation and amortization for tax (run rate)</t>
  </si>
  <si>
    <t xml:space="preserve">Paramount Successor run rate [3][4][5]; WBD analyst estimate of deductible D and A, flagged</t>
  </si>
  <si>
    <t xml:space="preserve">Revenue build, 2026E base (USD m)</t>
  </si>
  <si>
    <t xml:space="preserve">Streaming</t>
  </si>
  <si>
    <t xml:space="preserve">Paramount DTC run rate from Q4 2025 to Q2 2026 [3][4][5]; WBD streaming Q2 2026 annualized [18]</t>
  </si>
  <si>
    <t xml:space="preserve">Linear television networks</t>
  </si>
  <si>
    <t xml:space="preserve">Paramount TV Media run rate [3][4][5]; WBD Global Linear Networks Q2 2026 annualized [18]</t>
  </si>
  <si>
    <t xml:space="preserve">Studios and licensing</t>
  </si>
  <si>
    <t xml:space="preserve">Paramount Studios run rate [4][5]; WBD Studios Q2 2026 annualized, a weak quarter, flagged [18]</t>
  </si>
  <si>
    <t xml:space="preserve">Total 2026E revenue</t>
  </si>
  <si>
    <t xml:space="preserve">Check: Street consensus 2026 revenue is about 66,700 on a pro forma basis [14]</t>
  </si>
  <si>
    <t xml:space="preserve">Drivers by scenario</t>
  </si>
  <si>
    <t xml:space="preserve">2026E</t>
  </si>
  <si>
    <t xml:space="preserve">2027E</t>
  </si>
  <si>
    <t xml:space="preserve">2028E</t>
  </si>
  <si>
    <t xml:space="preserve">2029E</t>
  </si>
  <si>
    <t xml:space="preserve">2030E</t>
  </si>
  <si>
    <t xml:space="preserve">2031E</t>
  </si>
  <si>
    <t xml:space="preserve">Note</t>
  </si>
  <si>
    <t xml:space="preserve">Streaming revenue growth: Base</t>
  </si>
  <si>
    <t xml:space="preserve">Paramount DTC grew 9 to 11 percent and WBD streaming 10 percent in Q2 2026 [5][18]. Base fades toward market growth.</t>
  </si>
  <si>
    <t xml:space="preserve">Streaming revenue growth: Bear</t>
  </si>
  <si>
    <t xml:space="preserve">Streaming revenue growth: Management</t>
  </si>
  <si>
    <t xml:space="preserve">Streaming revenue growth: ACTIVE</t>
  </si>
  <si>
    <t xml:space="preserve">Linear networks revenue growth: Base</t>
  </si>
  <si>
    <t xml:space="preserve">Paramount TV Media fell 6 to 9 percent and WBD linear 17 percent in Q2 2026, the latter partly NBA rights [5][18].</t>
  </si>
  <si>
    <t xml:space="preserve">Linear networks revenue growth: Bear</t>
  </si>
  <si>
    <t xml:space="preserve">Linear networks revenue growth: Management</t>
  </si>
  <si>
    <t xml:space="preserve">Linear networks revenue growth: ACTIVE</t>
  </si>
  <si>
    <t xml:space="preserve">Studios revenue growth: Base</t>
  </si>
  <si>
    <t xml:space="preserve">Slate driven and lumpy. Held near inflation.</t>
  </si>
  <si>
    <t xml:space="preserve">Studios revenue growth: Bear</t>
  </si>
  <si>
    <t xml:space="preserve">Studios revenue growth: Management</t>
  </si>
  <si>
    <t xml:space="preserve">Studios revenue growth: ACTIVE</t>
  </si>
  <si>
    <t xml:space="preserve">Underlying EBITDA margin before synergies: Base</t>
  </si>
  <si>
    <t xml:space="preserve">2026E anchored to Paramount guidance of 3,850 plus WBD trailing 8,800 on 66,500 of revenue [5][18]. Drifts down as linear shrinks.</t>
  </si>
  <si>
    <t xml:space="preserve">Underlying EBITDA margin before synergies: Bear</t>
  </si>
  <si>
    <t xml:space="preserve">Underlying EBITDA margin before synergies: Management</t>
  </si>
  <si>
    <t xml:space="preserve">Underlying EBITDA margin before synergies: ACTIVE</t>
  </si>
  <si>
    <t xml:space="preserve">Realized synergies, cumulative run rate: Base</t>
  </si>
  <si>
    <t xml:space="preserve">Management targets at least 6,000 within three years [12]. Base follows the Debtwire path [10]. Bear takes half.</t>
  </si>
  <si>
    <t xml:space="preserve">Realized synergies, cumulative run rate: Bear</t>
  </si>
  <si>
    <t xml:space="preserve">Realized synergies, cumulative run rate: Management</t>
  </si>
  <si>
    <t xml:space="preserve">Realized synergies, cumulative run rate: ACTIVE</t>
  </si>
  <si>
    <t xml:space="preserve">Cash cost to achieve synergies and integration: Base</t>
  </si>
  <si>
    <t xml:space="preserve">2026 is Paramount's 800 of transformation cost plus WBD transaction costs [5][18]. Roughly one times run rate in total.</t>
  </si>
  <si>
    <t xml:space="preserve">Cash cost to achieve synergies and integration: Bear</t>
  </si>
  <si>
    <t xml:space="preserve">Cash cost to achieve synergies and integration: Management</t>
  </si>
  <si>
    <t xml:space="preserve">Cash cost to achieve synergies and integration: ACTIVE</t>
  </si>
  <si>
    <t xml:space="preserve">Stock based compensation: Base</t>
  </si>
  <si>
    <t xml:space="preserve">Paramount about 300 a year [3] plus WBD estimate. Treated as a real cost.</t>
  </si>
  <si>
    <t xml:space="preserve">Stock based compensation: Bear</t>
  </si>
  <si>
    <t xml:space="preserve">Stock based compensation: Management</t>
  </si>
  <si>
    <t xml:space="preserve">Stock based compensation: ACTIVE</t>
  </si>
  <si>
    <t xml:space="preserve">Capex as percent of revenue: Base</t>
  </si>
  <si>
    <t xml:space="preserve">Combined 2025 capex of about 1,400 on 66,200 of revenue [3][18].</t>
  </si>
  <si>
    <t xml:space="preserve">Capex as percent of revenue: Bear</t>
  </si>
  <si>
    <t xml:space="preserve">Capex as percent of revenue: Management</t>
  </si>
  <si>
    <t xml:space="preserve">Capex as percent of revenue: ACTIVE</t>
  </si>
  <si>
    <t xml:space="preserve">Working capital and content investment, percent of revenue: Base</t>
  </si>
  <si>
    <t xml:space="preserve">Cash content spend above amortization plus working capital. The least observable input here; see README.</t>
  </si>
  <si>
    <t xml:space="preserve">Working capital and content investment, percent of revenue: Bear</t>
  </si>
  <si>
    <t xml:space="preserve">Working capital and content investment, percent of revenue: Management</t>
  </si>
  <si>
    <t xml:space="preserve">Working capital and content investment, percent of revenue: ACTIVE</t>
  </si>
  <si>
    <t xml:space="preserve">Tax D and A (deductible): Base</t>
  </si>
  <si>
    <t xml:space="preserve">Inputs!D13 run rate, drifting down. Purchase accounting step ups are largely not deductible in a stock deal; cash deal portion unknown.</t>
  </si>
  <si>
    <t xml:space="preserve">Tax D and A (deductible): Bear</t>
  </si>
  <si>
    <t xml:space="preserve">Tax D and A (deductible): Management</t>
  </si>
  <si>
    <t xml:space="preserve">Tax D and A (deductible): ACTIVE</t>
  </si>
  <si>
    <t xml:space="preserve">Valuation and market inputs</t>
  </si>
  <si>
    <t xml:space="preserve">Value</t>
  </si>
  <si>
    <t xml:space="preserve">Share price, October 23, 2026 close ($)</t>
  </si>
  <si>
    <t xml:space="preserve">StockAnalysis [15]</t>
  </si>
  <si>
    <t xml:space="preserve">Shares outstanding (millions)</t>
  </si>
  <si>
    <t xml:space="preserve">StockAnalysis, after 47,000 of new Class B at $12 [12][15]</t>
  </si>
  <si>
    <t xml:space="preserve">Warrants outstanding (millions), strike $12.00, expire 2036</t>
  </si>
  <si>
    <t xml:space="preserve">Skydance 8-K, October 13, 2026 [8]</t>
  </si>
  <si>
    <t xml:space="preserve">Warrant strike ($)</t>
  </si>
  <si>
    <t xml:space="preserve">[8]</t>
  </si>
  <si>
    <t xml:space="preserve">Gross debt at close</t>
  </si>
  <si>
    <t xml:space="preserve">Debtwire estimate at close [10]</t>
  </si>
  <si>
    <t xml:space="preserve">Cash at close</t>
  </si>
  <si>
    <t xml:space="preserve">Noncontrolling interests</t>
  </si>
  <si>
    <t xml:space="preserve">Paramount Skydance 10-Q, June 30, 2026 [2]</t>
  </si>
  <si>
    <t xml:space="preserve">Valuation date</t>
  </si>
  <si>
    <t xml:space="preserve">2026-10-24</t>
  </si>
  <si>
    <t xml:space="preserve">Model build date. Cash flows are discounted with a mid year convention from this date.</t>
  </si>
  <si>
    <t xml:space="preserve">Stub fraction of 2026 remaining</t>
  </si>
  <si>
    <t xml:space="preserve">October 24 to December 31 is about 19 percent of the year. 2026E cash flow is scaled by this.</t>
  </si>
  <si>
    <t xml:space="preserve">Long term growth rate</t>
  </si>
  <si>
    <t xml:space="preserve">Below nominal GDP because linear television is shrinking. Not sourced from any publication.</t>
  </si>
  <si>
    <t xml:space="preserve">Exit multiple, EV to EBITDA</t>
  </si>
  <si>
    <t xml:space="preserve">Diversified media has traded in the high single digits; a leveraged company below that. Analyst judgment.</t>
  </si>
  <si>
    <t xml:space="preserve">Cash tax rate</t>
  </si>
  <si>
    <t xml:space="preserve">Paramount FY2024 adjusted rate was about 25 percent [3]; 21 percent federal floor. Interest deductibility limits ignored.</t>
  </si>
  <si>
    <t xml:space="preserve">Historical results, the two companies separately</t>
  </si>
  <si>
    <t xml:space="preserve">Paramount Global then Paramount Skydance (USD m)</t>
  </si>
  <si>
    <t xml:space="preserve">FY2022</t>
  </si>
  <si>
    <t xml:space="preserve">FY2023</t>
  </si>
  <si>
    <t xml:space="preserve">FY2024</t>
  </si>
  <si>
    <t xml:space="preserve">FY2025</t>
  </si>
  <si>
    <t xml:space="preserve">H1 2026</t>
  </si>
  <si>
    <t xml:space="preserve">Revenue</t>
  </si>
  <si>
    <t xml:space="preserve">[9][3][5]</t>
  </si>
  <si>
    <t xml:space="preserve">Adjusted OIBDA (after stock comp)</t>
  </si>
  <si>
    <t xml:space="preserve">[9][3]</t>
  </si>
  <si>
    <t xml:space="preserve">Adjusted EBITDA (before stock comp, new metric 2026)</t>
  </si>
  <si>
    <t xml:space="preserve">[5]</t>
  </si>
  <si>
    <t xml:space="preserve">Operating income (loss)</t>
  </si>
  <si>
    <t xml:space="preserve">Depreciation and amortization</t>
  </si>
  <si>
    <t xml:space="preserve">Stock based compensation</t>
  </si>
  <si>
    <t xml:space="preserve">Restructuring, transaction and other items</t>
  </si>
  <si>
    <t xml:space="preserve">Operating cash flow</t>
  </si>
  <si>
    <t xml:space="preserve">Capital expenditures</t>
  </si>
  <si>
    <t xml:space="preserve">Free cash flow</t>
  </si>
  <si>
    <t xml:space="preserve">Paramount+ subscribers, millions, year end</t>
  </si>
  <si>
    <t xml:space="preserve">Adjusted OIBDA margin</t>
  </si>
  <si>
    <t xml:space="preserve">Free cash flow as percent of revenue</t>
  </si>
  <si>
    <t xml:space="preserve">Warner Bros. Discovery (USD m)</t>
  </si>
  <si>
    <t xml:space="preserve">Q2 2026</t>
  </si>
  <si>
    <t xml:space="preserve">[17][18]</t>
  </si>
  <si>
    <t xml:space="preserve">Adjusted EBITDA</t>
  </si>
  <si>
    <t xml:space="preserve">Streaming revenue</t>
  </si>
  <si>
    <t xml:space="preserve">[18]</t>
  </si>
  <si>
    <t xml:space="preserve">Studios revenue</t>
  </si>
  <si>
    <t xml:space="preserve">Global Linear Networks revenue</t>
  </si>
  <si>
    <t xml:space="preserve">Streaming adjusted EBITDA</t>
  </si>
  <si>
    <t xml:space="preserve">Studios adjusted EBITDA</t>
  </si>
  <si>
    <t xml:space="preserve">Global Linear Networks adjusted EBITDA</t>
  </si>
  <si>
    <t xml:space="preserve">Net debt, period end</t>
  </si>
  <si>
    <t xml:space="preserve">Net leverage</t>
  </si>
  <si>
    <t xml:space="preserve">Pro forma combined 2025 per the company's July 2026 8-K: revenue 66,133, net loss to parent (5,758), with purchase accounting and transaction costs [6].</t>
  </si>
  <si>
    <t xml:space="preserve">Forecast, pro forma combined</t>
  </si>
  <si>
    <t xml:space="preserve">USD millions</t>
  </si>
  <si>
    <t xml:space="preserve">2026E segment base is the run rate build on Inputs rows 17 to 19.</t>
  </si>
  <si>
    <t xml:space="preserve">Linear networks revenue</t>
  </si>
  <si>
    <t xml:space="preserve">Studios and licensing revenue</t>
  </si>
  <si>
    <t xml:space="preserve">Total revenue</t>
  </si>
  <si>
    <t xml:space="preserve">Revenue growth</t>
  </si>
  <si>
    <t xml:space="preserve">Underlying EBITDA before synergies</t>
  </si>
  <si>
    <t xml:space="preserve">Realized synergies</t>
  </si>
  <si>
    <t xml:space="preserve">Adjusted EBITDA margin</t>
  </si>
  <si>
    <t xml:space="preserve">Less stock based compensation</t>
  </si>
  <si>
    <t xml:space="preserve">Less cash cost of synergies and integration</t>
  </si>
  <si>
    <t xml:space="preserve">EBITDA after stock comp and integration cash</t>
  </si>
  <si>
    <t xml:space="preserve">Less tax depreciation and amortization</t>
  </si>
  <si>
    <t xml:space="preserve">Taxable operating profit</t>
  </si>
  <si>
    <t xml:space="preserve">Cash taxes</t>
  </si>
  <si>
    <t xml:space="preserve">Less capital expenditures</t>
  </si>
  <si>
    <t xml:space="preserve">Less working capital and content investment</t>
  </si>
  <si>
    <t xml:space="preserve">Unlevered free cash flow</t>
  </si>
  <si>
    <t xml:space="preserve">Conversion, unlevered FCF over adjusted EBITDA</t>
  </si>
  <si>
    <t xml:space="preserve">Memo: EBITDA on Debtwire basis, 2027E 13,700 with synergies, 2030E base 17,200 [10]; management targets FCF above 10,000 by 2030 [12], which is after interest.</t>
  </si>
  <si>
    <t xml:space="preserve">Cost of capital</t>
  </si>
  <si>
    <t xml:space="preserve">Input or step</t>
  </si>
  <si>
    <t xml:space="preserve">Basis</t>
  </si>
  <si>
    <t xml:space="preserve">Risk free rate, 10 year Treasury, October 22, 2026</t>
  </si>
  <si>
    <t xml:space="preserve">[16]</t>
  </si>
  <si>
    <t xml:space="preserve">Equity risk premium</t>
  </si>
  <si>
    <t xml:space="preserve">Analyst input. Kroll's recommended US premium was 5.0 percent in late 2025; 4.5 percent reflects a higher risk free rate.</t>
  </si>
  <si>
    <t xml:space="preserve">Unlevered beta, diversified media</t>
  </si>
  <si>
    <t xml:space="preserve">Analyst input. The quoted 1.55 levered beta [15] is on legacy Paramount history and a different capital structure, so it is relevered here instead.</t>
  </si>
  <si>
    <t xml:space="preserve">Market value of equity</t>
  </si>
  <si>
    <t xml:space="preserve">Price times shares</t>
  </si>
  <si>
    <t xml:space="preserve">Net debt</t>
  </si>
  <si>
    <t xml:space="preserve">[10]</t>
  </si>
  <si>
    <t xml:space="preserve">Debt to equity</t>
  </si>
  <si>
    <t xml:space="preserve">Tax rate</t>
  </si>
  <si>
    <t xml:space="preserve">Levered beta</t>
  </si>
  <si>
    <t xml:space="preserve">Hamada relevering</t>
  </si>
  <si>
    <t xml:space="preserve">Cost of equity</t>
  </si>
  <si>
    <t xml:space="preserve">CAPM</t>
  </si>
  <si>
    <t xml:space="preserve">Pre tax cost of debt</t>
  </si>
  <si>
    <t xml:space="preserve">New first lien 7.05 percent and second lien 8.875 percent coupons, legacy unsecured yielding 10 to 13 percent [10]. Blended judgment.</t>
  </si>
  <si>
    <t xml:space="preserve">After tax cost of debt</t>
  </si>
  <si>
    <t xml:space="preserve">Weight of equity</t>
  </si>
  <si>
    <t xml:space="preserve">Market weights at the October 23 close</t>
  </si>
  <si>
    <t xml:space="preserve">Weight of debt</t>
  </si>
  <si>
    <t xml:space="preserve">WACC</t>
  </si>
  <si>
    <t xml:space="preserve">Why market weights: management targets 3.0x net leverage by 2029 [12], which would raise the equity weight and the WACC over time. Using today's 68 percent debt weight gives a lower WACC than a target structure would. The Sensitivity sheet covers 8 to 11 percent.</t>
  </si>
  <si>
    <t xml:space="preserve">Discounted cash flow</t>
  </si>
  <si>
    <t xml:space="preserve">Fraction of year included</t>
  </si>
  <si>
    <t xml:space="preserve">Only the rest of 2026 is counted from the October 24 valuation date.</t>
  </si>
  <si>
    <t xml:space="preserve">Cash flow included</t>
  </si>
  <si>
    <t xml:space="preserve">Discount period, years from valuation date, mid year</t>
  </si>
  <si>
    <t xml:space="preserve">Discount factor</t>
  </si>
  <si>
    <t xml:space="preserve">Present value</t>
  </si>
  <si>
    <t xml:space="preserve">Terminal value, perpetuity growth method</t>
  </si>
  <si>
    <t xml:space="preserve">Long term growth</t>
  </si>
  <si>
    <t xml:space="preserve">Terminal year cash flow, 2031E grown one year</t>
  </si>
  <si>
    <t xml:space="preserve">Terminal value at end of 2031</t>
  </si>
  <si>
    <t xml:space="preserve">Discount factor, end of 2031</t>
  </si>
  <si>
    <t xml:space="preserve">Present value of terminal value</t>
  </si>
  <si>
    <t xml:space="preserve">Implied exit multiple of 2031E EBITDA</t>
  </si>
  <si>
    <t xml:space="preserve">Terminal value, exit multiple method</t>
  </si>
  <si>
    <t xml:space="preserve">Exit multiple</t>
  </si>
  <si>
    <t xml:space="preserve">Implied perpetuity growth</t>
  </si>
  <si>
    <t xml:space="preserve">Enterprise value and bridge to equity</t>
  </si>
  <si>
    <t xml:space="preserve">Perpetuity</t>
  </si>
  <si>
    <t xml:space="preserve">Sum of present value of forecast cash flows</t>
  </si>
  <si>
    <t xml:space="preserve">Enterprise value</t>
  </si>
  <si>
    <t xml:space="preserve">Terminal value share of enterprise value</t>
  </si>
  <si>
    <t xml:space="preserve">Less net debt</t>
  </si>
  <si>
    <t xml:space="preserve">Less noncontrolling interests</t>
  </si>
  <si>
    <t xml:space="preserve">Equity value</t>
  </si>
  <si>
    <t xml:space="preserve">Shares outstanding, millions</t>
  </si>
  <si>
    <t xml:space="preserve">Implied value per share before warrants</t>
  </si>
  <si>
    <t xml:space="preserve">Warrant dilution, treasury stock method, millions of shares</t>
  </si>
  <si>
    <t xml:space="preserve">Implied value per share after warrants</t>
  </si>
  <si>
    <t xml:space="preserve">This is a model output under stated assumptions, not a recommendation.</t>
  </si>
  <si>
    <t xml:space="preserve">Market price, October 23, 2026</t>
  </si>
  <si>
    <t xml:space="preserve">Model value over market price</t>
  </si>
  <si>
    <t xml:space="preserve">Market enterprise value for reference</t>
  </si>
  <si>
    <t xml:space="preserve">Market EV to 2026E adjusted EBITDA</t>
  </si>
  <si>
    <t xml:space="preserve">Model EV to 2026E adjusted EBITDA</t>
  </si>
  <si>
    <t xml:space="preserve">Sensitivity of implied value per share</t>
  </si>
  <si>
    <t xml:space="preserve">Perpetuity growth method: WACC down, long term growth across. Value per share after warrants, $.</t>
  </si>
  <si>
    <t xml:space="preserve">WACC \ growth</t>
  </si>
  <si>
    <t xml:space="preserve">Exit multiple method: WACC down, exit EV to EBITDA across. Value per share after warrants, $.</t>
  </si>
  <si>
    <t xml:space="preserve">WACC \ multiple</t>
  </si>
  <si>
    <t xml:space="preserve">Scenario summary. Change Inputs!C5 to see each scenario live; the three rows below are the values as built.</t>
  </si>
  <si>
    <t xml:space="preserve">Scenario</t>
  </si>
  <si>
    <t xml:space="preserve">2031E EBITDA</t>
  </si>
  <si>
    <t xml:space="preserve">$ per share, perpetuity</t>
  </si>
  <si>
    <t xml:space="preserve">$ per share, exit</t>
  </si>
  <si>
    <t xml:space="preserve">Base</t>
  </si>
  <si>
    <t xml:space="preserve">Bear</t>
  </si>
  <si>
    <t xml:space="preserve">Management</t>
  </si>
  <si>
    <t xml:space="preserve">Market price for reference</t>
  </si>
  <si>
    <t xml:space="preserve">Street price target range, context only: low 2.00, median 8.35, high 13.74 [14]</t>
  </si>
  <si>
    <t xml:space="preserve">Sources</t>
  </si>
  <si>
    <t xml:space="preserve">#</t>
  </si>
  <si>
    <t xml:space="preserve">Paramount Skydance Corp, Form 10-K for fiscal 2025. https://www.sec.gov/Archives/edgar/data/2041610/000204161026000011/psky-20251231.htm</t>
  </si>
  <si>
    <t xml:space="preserve">Paramount Skydance Corp, Form 10-Q for the quarter ended June 30, 2026. https://www.sec.gov/Archives/edgar/data/0002041610/000204161026000054/psky-20260630.htm</t>
  </si>
  <si>
    <t xml:space="preserve">Paramount Skydance Corp, Q4 and full year 2025 earnings release, February 2026. https://www.sec.gov/Archives/edgar/data/2041610/000204161026000008/ex99_q425.htm</t>
  </si>
  <si>
    <t xml:space="preserve">Paramount Skydance Corp, Q1 2026 earnings release, May 2026. https://www.sec.gov/Archives/edgar/data/0002041610/000204161026000022/ex99_q126.htm</t>
  </si>
  <si>
    <t xml:space="preserve">Paramount Skydance Corp, Q2 2026 earnings release, August 4, 2026. https://www.sec.gov/Archives/edgar/data/0002041610/000204161026000052/ex99_q226.htm</t>
  </si>
  <si>
    <t xml:space="preserve">Paramount Skydance Corp, Form 8-K filed July 31, 2026, merger terms, financing and pro forma financials. https://ir.paramount.com/node/73246/html</t>
  </si>
  <si>
    <t xml:space="preserve">Warner Bros. Discovery, Form 8-K on completion of the merger, October 2026. https://www.sec.gov/Archives/edgar/data/0001437107/000119312526415055/d200872d8k.htm</t>
  </si>
  <si>
    <t xml:space="preserve">Skydance Corp, Form 8-K dated October 9, 2026: warrants, exchange and tender results, second lien notes. https://www.sec.gov/Archives/edgar/data/0002041610/000110465926115294/tm2626659d12_8k.htm</t>
  </si>
  <si>
    <t xml:space="preserve">Paramount Global, Q4 and full year 2023 earnings release, February 2024. https://www.sec.gov/Archives/edgar/data/813828/000119312524050664/d757936dex99.htm</t>
  </si>
  <si>
    <t xml:space="preserve">Debtwire, ION Analytics, Skydance Corporation credit report, October 2026. https://ionanalytics.com/insights/debtwire/skydance-corporation-synergies-alone-wont-hit-leverage-targets-credit-report/</t>
  </si>
  <si>
    <t xml:space="preserve">TheWrap, Wall Street banks wrap up $52 billion debt sale, October 2, 2026. https://www.thewrap.com/industry-news/business/paramount-warner-bros-merger-52-billion-debt-sale-completed/</t>
  </si>
  <si>
    <t xml:space="preserve">Cord Cutters News, Paramount completes Warner Bros. Discovery acquisition, October 6, 2026. https://cordcuttersnews.com/its-done-paramount-completes-warner-bros-discovery-acquisition-launches-combined-company-as-skydance/</t>
  </si>
  <si>
    <t xml:space="preserve">SlashFilm, merger official and new company name, October 2, 2026. https://www.slashfilm.com/2275589/warner-bros-discovery-paramount-merger-company-name-announced/</t>
  </si>
  <si>
    <t xml:space="preserve">StockAnalysis, SKYD analyst forecasts, October 23, 2026. https://stockanalysis.com/stocks/skyd/forecast/</t>
  </si>
  <si>
    <t xml:space="preserve">StockAnalysis, SKYD statistics, October 23, 2026. https://stockanalysis.com/stocks/skyd/statistics/</t>
  </si>
  <si>
    <t xml:space="preserve">Mortgage News Daily, 10 year Treasury yield history through October 22, 2026. https://www.mortgagenewsdaily.com/treasury/10yr</t>
  </si>
  <si>
    <t xml:space="preserve">Warner Bros. Discovery, fourth quarter and full year 2025 results, February 26, 2026. https://www.wbd.com/news/warner-bros-discovery-reports-fourth-quarter-and-full-year-2025-results</t>
  </si>
  <si>
    <t xml:space="preserve">Warner Bros. Discovery, Q2 2026 earnings release, Form 8-K, August 2026. https://www.sec.gov/Archives/edgar/data/0001437107/000143710726000072/wbd2q26earningsrelease08.htm</t>
  </si>
  <si>
    <t xml:space="preserve">Analyst inputs with no source are labelled as such on the Inputs and WACC sheets. Nothing in this workbook comes from a Bloomberg Terminal or from any employer.</t>
  </si>
</sst>
</file>

<file path=xl/styles.xml><?xml version="1.0" encoding="utf-8"?>
<styleSheet xmlns="http://schemas.openxmlformats.org/spreadsheetml/2006/main">
  <numFmts count="8">
    <numFmt numFmtId="164" formatCode="General"/>
    <numFmt numFmtId="165" formatCode="#,##0;\(#,##0\);\-"/>
    <numFmt numFmtId="166" formatCode="0.0%;\(0.0%\);\-"/>
    <numFmt numFmtId="167" formatCode="\$#,##0.00;&quot;($&quot;#,##0.00\);\-"/>
    <numFmt numFmtId="168" formatCode="#,##0.0;\(#,##0.0\);\-"/>
    <numFmt numFmtId="169" formatCode="0.0\x"/>
    <numFmt numFmtId="170" formatCode="0.00"/>
    <numFmt numFmtId="171" formatCode="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FFFFFF"/>
      <name val="Arial"/>
      <family val="0"/>
      <charset val="1"/>
    </font>
    <font>
      <sz val="9"/>
      <color rgb="FF595959"/>
      <name val="Arial"/>
      <family val="0"/>
      <charset val="1"/>
    </font>
    <font>
      <sz val="10"/>
      <name val="Arial"/>
      <family val="2"/>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A1628"/>
        <bgColor rgb="FF000000"/>
      </patternFill>
    </fill>
    <fill>
      <patternFill patternType="solid">
        <fgColor rgb="FFF2F2F2"/>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A16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28.35" hidden="false" customHeight="false" outlineLevel="0" collapsed="false">
      <c r="A4" s="3" t="s">
        <v>2</v>
      </c>
    </row>
    <row r="5" customFormat="false" ht="28.35" hidden="false" customHeight="false" outlineLevel="0" collapsed="false">
      <c r="A5" s="3" t="s">
        <v>3</v>
      </c>
    </row>
    <row r="6" customFormat="false" ht="28.35" hidden="false" customHeight="false" outlineLevel="0" collapsed="false">
      <c r="A6" s="3" t="s">
        <v>4</v>
      </c>
    </row>
    <row r="7" customFormat="false" ht="15" hidden="false" customHeight="false" outlineLevel="0" collapsed="false">
      <c r="A7" s="3"/>
    </row>
    <row r="8" customFormat="false" ht="28.35" hidden="false" customHeight="false" outlineLevel="0" collapsed="false">
      <c r="A8" s="3" t="s">
        <v>5</v>
      </c>
    </row>
    <row r="9" customFormat="false" ht="28.35" hidden="false" customHeight="false" outlineLevel="0" collapsed="false">
      <c r="A9" s="3" t="s">
        <v>6</v>
      </c>
    </row>
    <row r="10" customFormat="false" ht="15" hidden="false" customHeight="false" outlineLevel="0" collapsed="false">
      <c r="A10" s="3"/>
    </row>
    <row r="11" customFormat="false" ht="28.35" hidden="false" customHeight="false" outlineLevel="0" collapsed="false">
      <c r="A11" s="3" t="s">
        <v>7</v>
      </c>
    </row>
    <row r="12" customFormat="false" ht="15" hidden="false" customHeight="false" outlineLevel="0" collapsed="false">
      <c r="A12" s="3"/>
    </row>
    <row r="13" customFormat="false" ht="41.75" hidden="false" customHeight="false" outlineLevel="0" collapsed="false">
      <c r="A13" s="3" t="s">
        <v>8</v>
      </c>
    </row>
    <row r="14" customFormat="false" ht="15" hidden="false" customHeight="false" outlineLevel="0" collapsed="false">
      <c r="A14" s="3"/>
    </row>
    <row r="15" customFormat="false" ht="15" hidden="false" customHeight="false" outlineLevel="0" collapsed="false">
      <c r="A15"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2"/>
    <col collapsed="false" customWidth="true" hidden="false" outlineLevel="0" max="9" min="9" style="0" width="60"/>
  </cols>
  <sheetData>
    <row r="1" customFormat="false" ht="17.35" hidden="false" customHeight="false" outlineLevel="0" collapsed="false">
      <c r="A1" s="1" t="s">
        <v>10</v>
      </c>
    </row>
    <row r="2" customFormat="false" ht="15" hidden="false" customHeight="false" outlineLevel="0" collapsed="false">
      <c r="A2" s="2" t="s">
        <v>1</v>
      </c>
    </row>
    <row r="4" customFormat="false" ht="15" hidden="false" customHeight="false" outlineLevel="0" collapsed="false">
      <c r="A4" s="4" t="s">
        <v>11</v>
      </c>
    </row>
    <row r="5" customFormat="false" ht="15" hidden="false" customHeight="false" outlineLevel="0" collapsed="false">
      <c r="A5" s="5" t="s">
        <v>12</v>
      </c>
      <c r="C5" s="6" t="n">
        <v>1</v>
      </c>
    </row>
    <row r="6" customFormat="false" ht="15" hidden="false" customHeight="false" outlineLevel="0" collapsed="false">
      <c r="A6" s="5" t="s">
        <v>13</v>
      </c>
      <c r="C6" s="5" t="str">
        <f aca="false">CHOOSE(C5,"Base","Bear","Management")</f>
        <v>Base</v>
      </c>
    </row>
    <row r="8" customFormat="false" ht="15" hidden="false" customHeight="false" outlineLevel="0" collapsed="false">
      <c r="A8" s="7" t="s">
        <v>14</v>
      </c>
      <c r="B8" s="8" t="s">
        <v>15</v>
      </c>
      <c r="C8" s="8" t="s">
        <v>16</v>
      </c>
      <c r="D8" s="8" t="s">
        <v>17</v>
      </c>
      <c r="E8" s="8"/>
      <c r="F8" s="8"/>
      <c r="G8" s="8"/>
      <c r="H8" s="8"/>
      <c r="I8" s="8" t="s">
        <v>18</v>
      </c>
    </row>
    <row r="9" customFormat="false" ht="15" hidden="false" customHeight="false" outlineLevel="0" collapsed="false">
      <c r="A9" s="5" t="s">
        <v>19</v>
      </c>
      <c r="B9" s="9" t="n">
        <v>28891</v>
      </c>
      <c r="C9" s="9" t="n">
        <v>37300</v>
      </c>
      <c r="D9" s="10" t="n">
        <f aca="false">B9+C9</f>
        <v>66191</v>
      </c>
      <c r="I9" s="11" t="s">
        <v>20</v>
      </c>
    </row>
    <row r="10" customFormat="false" ht="15" hidden="false" customHeight="false" outlineLevel="0" collapsed="false">
      <c r="A10" s="5" t="s">
        <v>21</v>
      </c>
      <c r="B10" s="9" t="n">
        <v>3349</v>
      </c>
      <c r="C10" s="9" t="n">
        <v>8700</v>
      </c>
      <c r="D10" s="10" t="n">
        <f aca="false">B10+C10</f>
        <v>12049</v>
      </c>
      <c r="I10" s="11" t="s">
        <v>22</v>
      </c>
    </row>
    <row r="11" customFormat="false" ht="15" hidden="false" customHeight="false" outlineLevel="0" collapsed="false">
      <c r="A11" s="5" t="s">
        <v>23</v>
      </c>
      <c r="B11" s="9" t="n">
        <v>273</v>
      </c>
      <c r="C11" s="9" t="n">
        <v>600</v>
      </c>
      <c r="D11" s="10" t="n">
        <f aca="false">B11+C11</f>
        <v>873</v>
      </c>
      <c r="I11" s="11" t="s">
        <v>24</v>
      </c>
    </row>
    <row r="12" customFormat="false" ht="15" hidden="false" customHeight="false" outlineLevel="0" collapsed="false">
      <c r="A12" s="5" t="s">
        <v>25</v>
      </c>
      <c r="B12" s="9" t="n">
        <v>296</v>
      </c>
      <c r="C12" s="9" t="n">
        <v>1100</v>
      </c>
      <c r="D12" s="10" t="n">
        <f aca="false">B12+C12</f>
        <v>1396</v>
      </c>
      <c r="I12" s="11" t="s">
        <v>26</v>
      </c>
    </row>
    <row r="13" customFormat="false" ht="15" hidden="false" customHeight="false" outlineLevel="0" collapsed="false">
      <c r="A13" s="5" t="s">
        <v>27</v>
      </c>
      <c r="B13" s="9" t="n">
        <v>1450</v>
      </c>
      <c r="C13" s="9" t="n">
        <v>3000</v>
      </c>
      <c r="D13" s="10" t="n">
        <f aca="false">B13+C13</f>
        <v>4450</v>
      </c>
      <c r="I13" s="11" t="s">
        <v>28</v>
      </c>
    </row>
    <row r="16" customFormat="false" ht="15" hidden="false" customHeight="false" outlineLevel="0" collapsed="false">
      <c r="A16" s="7" t="s">
        <v>29</v>
      </c>
      <c r="B16" s="8" t="s">
        <v>15</v>
      </c>
      <c r="C16" s="8" t="s">
        <v>16</v>
      </c>
      <c r="D16" s="8" t="s">
        <v>17</v>
      </c>
      <c r="E16" s="8"/>
      <c r="F16" s="8"/>
      <c r="G16" s="8"/>
      <c r="H16" s="8"/>
      <c r="I16" s="8" t="s">
        <v>18</v>
      </c>
    </row>
    <row r="17" customFormat="false" ht="15" hidden="false" customHeight="false" outlineLevel="0" collapsed="false">
      <c r="A17" s="5" t="s">
        <v>30</v>
      </c>
      <c r="B17" s="9" t="n">
        <v>9500</v>
      </c>
      <c r="C17" s="9" t="n">
        <v>11800</v>
      </c>
      <c r="D17" s="10" t="n">
        <f aca="false">B17+C17</f>
        <v>21300</v>
      </c>
      <c r="I17" s="11" t="s">
        <v>31</v>
      </c>
    </row>
    <row r="18" customFormat="false" ht="15" hidden="false" customHeight="false" outlineLevel="0" collapsed="false">
      <c r="A18" s="5" t="s">
        <v>32</v>
      </c>
      <c r="B18" s="9" t="n">
        <v>14000</v>
      </c>
      <c r="C18" s="9" t="n">
        <v>16000</v>
      </c>
      <c r="D18" s="10" t="n">
        <f aca="false">B18+C18</f>
        <v>30000</v>
      </c>
      <c r="I18" s="11" t="s">
        <v>33</v>
      </c>
    </row>
    <row r="19" customFormat="false" ht="15" hidden="false" customHeight="false" outlineLevel="0" collapsed="false">
      <c r="A19" s="5" t="s">
        <v>34</v>
      </c>
      <c r="B19" s="9" t="n">
        <v>6500</v>
      </c>
      <c r="C19" s="9" t="n">
        <v>9000</v>
      </c>
      <c r="D19" s="10" t="n">
        <f aca="false">B19+C19</f>
        <v>15500</v>
      </c>
      <c r="I19" s="11" t="s">
        <v>35</v>
      </c>
    </row>
    <row r="20" customFormat="false" ht="15" hidden="false" customHeight="false" outlineLevel="0" collapsed="false">
      <c r="A20" s="5" t="s">
        <v>36</v>
      </c>
      <c r="D20" s="12" t="n">
        <f aca="false">SUM(D17:D19)</f>
        <v>66800</v>
      </c>
      <c r="I20" s="11" t="s">
        <v>37</v>
      </c>
    </row>
    <row r="22" customFormat="false" ht="15" hidden="false" customHeight="false" outlineLevel="0" collapsed="false">
      <c r="A22" s="7" t="s">
        <v>38</v>
      </c>
      <c r="B22" s="8" t="s">
        <v>39</v>
      </c>
      <c r="C22" s="8" t="s">
        <v>40</v>
      </c>
      <c r="D22" s="8" t="s">
        <v>41</v>
      </c>
      <c r="E22" s="8" t="s">
        <v>42</v>
      </c>
      <c r="F22" s="8" t="s">
        <v>43</v>
      </c>
      <c r="G22" s="8" t="s">
        <v>44</v>
      </c>
      <c r="H22" s="8"/>
      <c r="I22" s="8"/>
      <c r="J22" s="8" t="s">
        <v>45</v>
      </c>
    </row>
    <row r="23" customFormat="false" ht="15" hidden="false" customHeight="false" outlineLevel="0" collapsed="false">
      <c r="A23" s="5" t="s">
        <v>46</v>
      </c>
      <c r="B23" s="13" t="n">
        <v>0.09</v>
      </c>
      <c r="C23" s="13" t="n">
        <v>0.08</v>
      </c>
      <c r="D23" s="13" t="n">
        <v>0.07</v>
      </c>
      <c r="E23" s="13" t="n">
        <v>0.06</v>
      </c>
      <c r="F23" s="13" t="n">
        <v>0.05</v>
      </c>
      <c r="G23" s="13" t="n">
        <v>0.04</v>
      </c>
      <c r="I23" s="11" t="s">
        <v>47</v>
      </c>
    </row>
    <row r="24" customFormat="false" ht="15" hidden="false" customHeight="false" outlineLevel="0" collapsed="false">
      <c r="A24" s="5" t="s">
        <v>48</v>
      </c>
      <c r="B24" s="13" t="n">
        <v>0.06</v>
      </c>
      <c r="C24" s="13" t="n">
        <v>0.04</v>
      </c>
      <c r="D24" s="13" t="n">
        <v>0.03</v>
      </c>
      <c r="E24" s="13" t="n">
        <v>0.02</v>
      </c>
      <c r="F24" s="13" t="n">
        <v>0.02</v>
      </c>
      <c r="G24" s="13" t="n">
        <v>0.02</v>
      </c>
    </row>
    <row r="25" customFormat="false" ht="15" hidden="false" customHeight="false" outlineLevel="0" collapsed="false">
      <c r="A25" s="5" t="s">
        <v>49</v>
      </c>
      <c r="B25" s="13" t="n">
        <v>0.1</v>
      </c>
      <c r="C25" s="13" t="n">
        <v>0.1</v>
      </c>
      <c r="D25" s="13" t="n">
        <v>0.09</v>
      </c>
      <c r="E25" s="13" t="n">
        <v>0.08</v>
      </c>
      <c r="F25" s="13" t="n">
        <v>0.07</v>
      </c>
      <c r="G25" s="13" t="n">
        <v>0.06</v>
      </c>
    </row>
    <row r="26" customFormat="false" ht="15" hidden="false" customHeight="false" outlineLevel="0" collapsed="false">
      <c r="A26" s="4" t="s">
        <v>50</v>
      </c>
      <c r="B26" s="14" t="n">
        <f aca="false">CHOOSE($C$5,B23,B24,B25)</f>
        <v>0.09</v>
      </c>
      <c r="C26" s="14" t="n">
        <f aca="false">CHOOSE($C$5,C23,C24,C25)</f>
        <v>0.08</v>
      </c>
      <c r="D26" s="14" t="n">
        <f aca="false">CHOOSE($C$5,D23,D24,D25)</f>
        <v>0.07</v>
      </c>
      <c r="E26" s="14" t="n">
        <f aca="false">CHOOSE($C$5,E23,E24,E25)</f>
        <v>0.06</v>
      </c>
      <c r="F26" s="14" t="n">
        <f aca="false">CHOOSE($C$5,F23,F24,F25)</f>
        <v>0.05</v>
      </c>
      <c r="G26" s="14" t="n">
        <f aca="false">CHOOSE($C$5,G23,G24,G25)</f>
        <v>0.04</v>
      </c>
    </row>
    <row r="28" customFormat="false" ht="15" hidden="false" customHeight="false" outlineLevel="0" collapsed="false">
      <c r="A28" s="5" t="s">
        <v>51</v>
      </c>
      <c r="B28" s="13" t="n">
        <v>-0.08</v>
      </c>
      <c r="C28" s="13" t="n">
        <v>-0.08</v>
      </c>
      <c r="D28" s="13" t="n">
        <v>-0.07</v>
      </c>
      <c r="E28" s="13" t="n">
        <v>-0.07</v>
      </c>
      <c r="F28" s="13" t="n">
        <v>-0.06</v>
      </c>
      <c r="G28" s="13" t="n">
        <v>-0.06</v>
      </c>
      <c r="I28" s="11" t="s">
        <v>52</v>
      </c>
    </row>
    <row r="29" customFormat="false" ht="15" hidden="false" customHeight="false" outlineLevel="0" collapsed="false">
      <c r="A29" s="5" t="s">
        <v>53</v>
      </c>
      <c r="B29" s="13" t="n">
        <v>-0.11</v>
      </c>
      <c r="C29" s="13" t="n">
        <v>-0.11</v>
      </c>
      <c r="D29" s="13" t="n">
        <v>-0.1</v>
      </c>
      <c r="E29" s="13" t="n">
        <v>-0.1</v>
      </c>
      <c r="F29" s="13" t="n">
        <v>-0.09</v>
      </c>
      <c r="G29" s="13" t="n">
        <v>-0.09</v>
      </c>
    </row>
    <row r="30" customFormat="false" ht="15" hidden="false" customHeight="false" outlineLevel="0" collapsed="false">
      <c r="A30" s="5" t="s">
        <v>54</v>
      </c>
      <c r="B30" s="13" t="n">
        <v>-0.06</v>
      </c>
      <c r="C30" s="13" t="n">
        <v>-0.06</v>
      </c>
      <c r="D30" s="13" t="n">
        <v>-0.05</v>
      </c>
      <c r="E30" s="13" t="n">
        <v>-0.05</v>
      </c>
      <c r="F30" s="13" t="n">
        <v>-0.05</v>
      </c>
      <c r="G30" s="13" t="n">
        <v>-0.05</v>
      </c>
    </row>
    <row r="31" customFormat="false" ht="15" hidden="false" customHeight="false" outlineLevel="0" collapsed="false">
      <c r="A31" s="4" t="s">
        <v>55</v>
      </c>
      <c r="B31" s="14" t="n">
        <f aca="false">CHOOSE($C$5,B28,B29,B30)</f>
        <v>-0.08</v>
      </c>
      <c r="C31" s="14" t="n">
        <f aca="false">CHOOSE($C$5,C28,C29,C30)</f>
        <v>-0.08</v>
      </c>
      <c r="D31" s="14" t="n">
        <f aca="false">CHOOSE($C$5,D28,D29,D30)</f>
        <v>-0.07</v>
      </c>
      <c r="E31" s="14" t="n">
        <f aca="false">CHOOSE($C$5,E28,E29,E30)</f>
        <v>-0.07</v>
      </c>
      <c r="F31" s="14" t="n">
        <f aca="false">CHOOSE($C$5,F28,F29,F30)</f>
        <v>-0.06</v>
      </c>
      <c r="G31" s="14" t="n">
        <f aca="false">CHOOSE($C$5,G28,G29,G30)</f>
        <v>-0.06</v>
      </c>
    </row>
    <row r="33" customFormat="false" ht="15" hidden="false" customHeight="false" outlineLevel="0" collapsed="false">
      <c r="A33" s="5" t="s">
        <v>56</v>
      </c>
      <c r="B33" s="13" t="n">
        <v>0.03</v>
      </c>
      <c r="C33" s="13" t="n">
        <v>0.03</v>
      </c>
      <c r="D33" s="13" t="n">
        <v>0.03</v>
      </c>
      <c r="E33" s="13" t="n">
        <v>0.03</v>
      </c>
      <c r="F33" s="13" t="n">
        <v>0.03</v>
      </c>
      <c r="G33" s="13" t="n">
        <v>0.03</v>
      </c>
      <c r="I33" s="11" t="s">
        <v>57</v>
      </c>
    </row>
    <row r="34" customFormat="false" ht="15" hidden="false" customHeight="false" outlineLevel="0" collapsed="false">
      <c r="A34" s="5" t="s">
        <v>58</v>
      </c>
      <c r="B34" s="13" t="n">
        <v>0</v>
      </c>
      <c r="C34" s="13" t="n">
        <v>0</v>
      </c>
      <c r="D34" s="13" t="n">
        <v>0.01</v>
      </c>
      <c r="E34" s="13" t="n">
        <v>0.01</v>
      </c>
      <c r="F34" s="13" t="n">
        <v>0.01</v>
      </c>
      <c r="G34" s="13" t="n">
        <v>0.01</v>
      </c>
    </row>
    <row r="35" customFormat="false" ht="15" hidden="false" customHeight="false" outlineLevel="0" collapsed="false">
      <c r="A35" s="5" t="s">
        <v>59</v>
      </c>
      <c r="B35" s="13" t="n">
        <v>0.05</v>
      </c>
      <c r="C35" s="13" t="n">
        <v>0.05</v>
      </c>
      <c r="D35" s="13" t="n">
        <v>0.04</v>
      </c>
      <c r="E35" s="13" t="n">
        <v>0.04</v>
      </c>
      <c r="F35" s="13" t="n">
        <v>0.04</v>
      </c>
      <c r="G35" s="13" t="n">
        <v>0.04</v>
      </c>
    </row>
    <row r="36" customFormat="false" ht="15" hidden="false" customHeight="false" outlineLevel="0" collapsed="false">
      <c r="A36" s="4" t="s">
        <v>60</v>
      </c>
      <c r="B36" s="14" t="n">
        <f aca="false">CHOOSE($C$5,B33,B34,B35)</f>
        <v>0.03</v>
      </c>
      <c r="C36" s="14" t="n">
        <f aca="false">CHOOSE($C$5,C33,C34,C35)</f>
        <v>0.03</v>
      </c>
      <c r="D36" s="14" t="n">
        <f aca="false">CHOOSE($C$5,D33,D34,D35)</f>
        <v>0.03</v>
      </c>
      <c r="E36" s="14" t="n">
        <f aca="false">CHOOSE($C$5,E33,E34,E35)</f>
        <v>0.03</v>
      </c>
      <c r="F36" s="14" t="n">
        <f aca="false">CHOOSE($C$5,F33,F34,F35)</f>
        <v>0.03</v>
      </c>
      <c r="G36" s="14" t="n">
        <f aca="false">CHOOSE($C$5,G33,G34,G35)</f>
        <v>0.03</v>
      </c>
    </row>
    <row r="38" customFormat="false" ht="15" hidden="false" customHeight="false" outlineLevel="0" collapsed="false">
      <c r="A38" s="5" t="s">
        <v>61</v>
      </c>
      <c r="B38" s="13" t="n">
        <v>0.184</v>
      </c>
      <c r="C38" s="13" t="n">
        <v>0.178</v>
      </c>
      <c r="D38" s="13" t="n">
        <v>0.172</v>
      </c>
      <c r="E38" s="13" t="n">
        <v>0.167</v>
      </c>
      <c r="F38" s="13" t="n">
        <v>0.163</v>
      </c>
      <c r="G38" s="13" t="n">
        <v>0.16</v>
      </c>
      <c r="I38" s="11" t="s">
        <v>62</v>
      </c>
    </row>
    <row r="39" customFormat="false" ht="15" hidden="false" customHeight="false" outlineLevel="0" collapsed="false">
      <c r="A39" s="5" t="s">
        <v>63</v>
      </c>
      <c r="B39" s="13" t="n">
        <v>0.18</v>
      </c>
      <c r="C39" s="13" t="n">
        <v>0.168</v>
      </c>
      <c r="D39" s="13" t="n">
        <v>0.158</v>
      </c>
      <c r="E39" s="13" t="n">
        <v>0.15</v>
      </c>
      <c r="F39" s="13" t="n">
        <v>0.143</v>
      </c>
      <c r="G39" s="13" t="n">
        <v>0.138</v>
      </c>
    </row>
    <row r="40" customFormat="false" ht="15" hidden="false" customHeight="false" outlineLevel="0" collapsed="false">
      <c r="A40" s="5" t="s">
        <v>64</v>
      </c>
      <c r="B40" s="13" t="n">
        <v>0.186</v>
      </c>
      <c r="C40" s="13" t="n">
        <v>0.184</v>
      </c>
      <c r="D40" s="13" t="n">
        <v>0.182</v>
      </c>
      <c r="E40" s="13" t="n">
        <v>0.18</v>
      </c>
      <c r="F40" s="13" t="n">
        <v>0.178</v>
      </c>
      <c r="G40" s="13" t="n">
        <v>0.176</v>
      </c>
    </row>
    <row r="41" customFormat="false" ht="15" hidden="false" customHeight="false" outlineLevel="0" collapsed="false">
      <c r="A41" s="4" t="s">
        <v>65</v>
      </c>
      <c r="B41" s="14" t="n">
        <f aca="false">CHOOSE($C$5,B38,B39,B40)</f>
        <v>0.184</v>
      </c>
      <c r="C41" s="14" t="n">
        <f aca="false">CHOOSE($C$5,C38,C39,C40)</f>
        <v>0.178</v>
      </c>
      <c r="D41" s="14" t="n">
        <f aca="false">CHOOSE($C$5,D38,D39,D40)</f>
        <v>0.172</v>
      </c>
      <c r="E41" s="14" t="n">
        <f aca="false">CHOOSE($C$5,E38,E39,E40)</f>
        <v>0.167</v>
      </c>
      <c r="F41" s="14" t="n">
        <f aca="false">CHOOSE($C$5,F38,F39,F40)</f>
        <v>0.163</v>
      </c>
      <c r="G41" s="14" t="n">
        <f aca="false">CHOOSE($C$5,G38,G39,G40)</f>
        <v>0.16</v>
      </c>
    </row>
    <row r="43" customFormat="false" ht="15" hidden="false" customHeight="false" outlineLevel="0" collapsed="false">
      <c r="A43" s="5" t="s">
        <v>66</v>
      </c>
      <c r="B43" s="9" t="n">
        <v>0</v>
      </c>
      <c r="C43" s="9" t="n">
        <v>1750</v>
      </c>
      <c r="D43" s="9" t="n">
        <v>3750</v>
      </c>
      <c r="E43" s="9" t="n">
        <v>5100</v>
      </c>
      <c r="F43" s="9" t="n">
        <v>5400</v>
      </c>
      <c r="G43" s="9" t="n">
        <v>5500</v>
      </c>
      <c r="I43" s="11" t="s">
        <v>67</v>
      </c>
    </row>
    <row r="44" customFormat="false" ht="15" hidden="false" customHeight="false" outlineLevel="0" collapsed="false">
      <c r="A44" s="5" t="s">
        <v>68</v>
      </c>
      <c r="B44" s="9" t="n">
        <v>0</v>
      </c>
      <c r="C44" s="9" t="n">
        <v>1000</v>
      </c>
      <c r="D44" s="9" t="n">
        <v>2000</v>
      </c>
      <c r="E44" s="9" t="n">
        <v>2750</v>
      </c>
      <c r="F44" s="9" t="n">
        <v>3000</v>
      </c>
      <c r="G44" s="9" t="n">
        <v>3000</v>
      </c>
    </row>
    <row r="45" customFormat="false" ht="15" hidden="false" customHeight="false" outlineLevel="0" collapsed="false">
      <c r="A45" s="5" t="s">
        <v>69</v>
      </c>
      <c r="B45" s="9" t="n">
        <v>0</v>
      </c>
      <c r="C45" s="9" t="n">
        <v>2000</v>
      </c>
      <c r="D45" s="9" t="n">
        <v>4500</v>
      </c>
      <c r="E45" s="9" t="n">
        <v>6000</v>
      </c>
      <c r="F45" s="9" t="n">
        <v>6000</v>
      </c>
      <c r="G45" s="9" t="n">
        <v>6000</v>
      </c>
    </row>
    <row r="46" customFormat="false" ht="15" hidden="false" customHeight="false" outlineLevel="0" collapsed="false">
      <c r="A46" s="4" t="s">
        <v>70</v>
      </c>
      <c r="B46" s="15" t="n">
        <f aca="false">CHOOSE($C$5,B43,B44,B45)</f>
        <v>0</v>
      </c>
      <c r="C46" s="15" t="n">
        <f aca="false">CHOOSE($C$5,C43,C44,C45)</f>
        <v>1750</v>
      </c>
      <c r="D46" s="15" t="n">
        <f aca="false">CHOOSE($C$5,D43,D44,D45)</f>
        <v>3750</v>
      </c>
      <c r="E46" s="15" t="n">
        <f aca="false">CHOOSE($C$5,E43,E44,E45)</f>
        <v>5100</v>
      </c>
      <c r="F46" s="15" t="n">
        <f aca="false">CHOOSE($C$5,F43,F44,F45)</f>
        <v>5400</v>
      </c>
      <c r="G46" s="15" t="n">
        <f aca="false">CHOOSE($C$5,G43,G44,G45)</f>
        <v>5500</v>
      </c>
    </row>
    <row r="48" customFormat="false" ht="15" hidden="false" customHeight="false" outlineLevel="0" collapsed="false">
      <c r="A48" s="5" t="s">
        <v>71</v>
      </c>
      <c r="B48" s="9" t="n">
        <v>1500</v>
      </c>
      <c r="C48" s="9" t="n">
        <v>2500</v>
      </c>
      <c r="D48" s="9" t="n">
        <v>2000</v>
      </c>
      <c r="E48" s="9" t="n">
        <v>800</v>
      </c>
      <c r="F48" s="9" t="n">
        <v>300</v>
      </c>
      <c r="G48" s="9" t="n">
        <v>0</v>
      </c>
      <c r="I48" s="11" t="s">
        <v>72</v>
      </c>
    </row>
    <row r="49" customFormat="false" ht="15" hidden="false" customHeight="false" outlineLevel="0" collapsed="false">
      <c r="A49" s="5" t="s">
        <v>73</v>
      </c>
      <c r="B49" s="9" t="n">
        <v>1500</v>
      </c>
      <c r="C49" s="9" t="n">
        <v>2500</v>
      </c>
      <c r="D49" s="9" t="n">
        <v>2000</v>
      </c>
      <c r="E49" s="9" t="n">
        <v>1000</v>
      </c>
      <c r="F49" s="9" t="n">
        <v>500</v>
      </c>
      <c r="G49" s="9" t="n">
        <v>0</v>
      </c>
    </row>
    <row r="50" customFormat="false" ht="15" hidden="false" customHeight="false" outlineLevel="0" collapsed="false">
      <c r="A50" s="5" t="s">
        <v>74</v>
      </c>
      <c r="B50" s="9" t="n">
        <v>1500</v>
      </c>
      <c r="C50" s="9" t="n">
        <v>2000</v>
      </c>
      <c r="D50" s="9" t="n">
        <v>1500</v>
      </c>
      <c r="E50" s="9" t="n">
        <v>500</v>
      </c>
      <c r="F50" s="9" t="n">
        <v>0</v>
      </c>
      <c r="G50" s="9" t="n">
        <v>0</v>
      </c>
    </row>
    <row r="51" customFormat="false" ht="15" hidden="false" customHeight="false" outlineLevel="0" collapsed="false">
      <c r="A51" s="4" t="s">
        <v>75</v>
      </c>
      <c r="B51" s="15" t="n">
        <f aca="false">CHOOSE($C$5,B48,B49,B50)</f>
        <v>1500</v>
      </c>
      <c r="C51" s="15" t="n">
        <f aca="false">CHOOSE($C$5,C48,C49,C50)</f>
        <v>2500</v>
      </c>
      <c r="D51" s="15" t="n">
        <f aca="false">CHOOSE($C$5,D48,D49,D50)</f>
        <v>2000</v>
      </c>
      <c r="E51" s="15" t="n">
        <f aca="false">CHOOSE($C$5,E48,E49,E50)</f>
        <v>800</v>
      </c>
      <c r="F51" s="15" t="n">
        <f aca="false">CHOOSE($C$5,F48,F49,F50)</f>
        <v>300</v>
      </c>
      <c r="G51" s="15" t="n">
        <f aca="false">CHOOSE($C$5,G48,G49,G50)</f>
        <v>0</v>
      </c>
    </row>
    <row r="53" customFormat="false" ht="15" hidden="false" customHeight="false" outlineLevel="0" collapsed="false">
      <c r="A53" s="5" t="s">
        <v>76</v>
      </c>
      <c r="B53" s="9" t="n">
        <v>900</v>
      </c>
      <c r="C53" s="9" t="n">
        <v>900</v>
      </c>
      <c r="D53" s="9" t="n">
        <v>900</v>
      </c>
      <c r="E53" s="9" t="n">
        <v>900</v>
      </c>
      <c r="F53" s="9" t="n">
        <v>900</v>
      </c>
      <c r="G53" s="9" t="n">
        <v>900</v>
      </c>
      <c r="I53" s="11" t="s">
        <v>77</v>
      </c>
    </row>
    <row r="54" customFormat="false" ht="15" hidden="false" customHeight="false" outlineLevel="0" collapsed="false">
      <c r="A54" s="5" t="s">
        <v>78</v>
      </c>
      <c r="B54" s="9" t="n">
        <v>900</v>
      </c>
      <c r="C54" s="9" t="n">
        <v>900</v>
      </c>
      <c r="D54" s="9" t="n">
        <v>900</v>
      </c>
      <c r="E54" s="9" t="n">
        <v>900</v>
      </c>
      <c r="F54" s="9" t="n">
        <v>900</v>
      </c>
      <c r="G54" s="9" t="n">
        <v>900</v>
      </c>
    </row>
    <row r="55" customFormat="false" ht="15" hidden="false" customHeight="false" outlineLevel="0" collapsed="false">
      <c r="A55" s="5" t="s">
        <v>79</v>
      </c>
      <c r="B55" s="9" t="n">
        <v>900</v>
      </c>
      <c r="C55" s="9" t="n">
        <v>900</v>
      </c>
      <c r="D55" s="9" t="n">
        <v>900</v>
      </c>
      <c r="E55" s="9" t="n">
        <v>900</v>
      </c>
      <c r="F55" s="9" t="n">
        <v>900</v>
      </c>
      <c r="G55" s="9" t="n">
        <v>900</v>
      </c>
    </row>
    <row r="56" customFormat="false" ht="15" hidden="false" customHeight="false" outlineLevel="0" collapsed="false">
      <c r="A56" s="4" t="s">
        <v>80</v>
      </c>
      <c r="B56" s="15" t="n">
        <f aca="false">CHOOSE($C$5,B53,B54,B55)</f>
        <v>900</v>
      </c>
      <c r="C56" s="15" t="n">
        <f aca="false">CHOOSE($C$5,C53,C54,C55)</f>
        <v>900</v>
      </c>
      <c r="D56" s="15" t="n">
        <f aca="false">CHOOSE($C$5,D53,D54,D55)</f>
        <v>900</v>
      </c>
      <c r="E56" s="15" t="n">
        <f aca="false">CHOOSE($C$5,E53,E54,E55)</f>
        <v>900</v>
      </c>
      <c r="F56" s="15" t="n">
        <f aca="false">CHOOSE($C$5,F53,F54,F55)</f>
        <v>900</v>
      </c>
      <c r="G56" s="15" t="n">
        <f aca="false">CHOOSE($C$5,G53,G54,G55)</f>
        <v>900</v>
      </c>
    </row>
    <row r="58" customFormat="false" ht="15" hidden="false" customHeight="false" outlineLevel="0" collapsed="false">
      <c r="A58" s="5" t="s">
        <v>81</v>
      </c>
      <c r="B58" s="13" t="n">
        <v>0.021</v>
      </c>
      <c r="C58" s="13" t="n">
        <v>0.021</v>
      </c>
      <c r="D58" s="13" t="n">
        <v>0.021</v>
      </c>
      <c r="E58" s="13" t="n">
        <v>0.021</v>
      </c>
      <c r="F58" s="13" t="n">
        <v>0.021</v>
      </c>
      <c r="G58" s="13" t="n">
        <v>0.021</v>
      </c>
      <c r="I58" s="11" t="s">
        <v>82</v>
      </c>
    </row>
    <row r="59" customFormat="false" ht="15" hidden="false" customHeight="false" outlineLevel="0" collapsed="false">
      <c r="A59" s="5" t="s">
        <v>83</v>
      </c>
      <c r="B59" s="13" t="n">
        <v>0.021</v>
      </c>
      <c r="C59" s="13" t="n">
        <v>0.021</v>
      </c>
      <c r="D59" s="13" t="n">
        <v>0.021</v>
      </c>
      <c r="E59" s="13" t="n">
        <v>0.021</v>
      </c>
      <c r="F59" s="13" t="n">
        <v>0.021</v>
      </c>
      <c r="G59" s="13" t="n">
        <v>0.021</v>
      </c>
    </row>
    <row r="60" customFormat="false" ht="15" hidden="false" customHeight="false" outlineLevel="0" collapsed="false">
      <c r="A60" s="5" t="s">
        <v>84</v>
      </c>
      <c r="B60" s="13" t="n">
        <v>0.02</v>
      </c>
      <c r="C60" s="13" t="n">
        <v>0.02</v>
      </c>
      <c r="D60" s="13" t="n">
        <v>0.02</v>
      </c>
      <c r="E60" s="13" t="n">
        <v>0.02</v>
      </c>
      <c r="F60" s="13" t="n">
        <v>0.02</v>
      </c>
      <c r="G60" s="13" t="n">
        <v>0.02</v>
      </c>
    </row>
    <row r="61" customFormat="false" ht="15" hidden="false" customHeight="false" outlineLevel="0" collapsed="false">
      <c r="A61" s="4" t="s">
        <v>85</v>
      </c>
      <c r="B61" s="14" t="n">
        <f aca="false">CHOOSE($C$5,B58,B59,B60)</f>
        <v>0.021</v>
      </c>
      <c r="C61" s="14" t="n">
        <f aca="false">CHOOSE($C$5,C58,C59,C60)</f>
        <v>0.021</v>
      </c>
      <c r="D61" s="14" t="n">
        <f aca="false">CHOOSE($C$5,D58,D59,D60)</f>
        <v>0.021</v>
      </c>
      <c r="E61" s="14" t="n">
        <f aca="false">CHOOSE($C$5,E58,E59,E60)</f>
        <v>0.021</v>
      </c>
      <c r="F61" s="14" t="n">
        <f aca="false">CHOOSE($C$5,F58,F59,F60)</f>
        <v>0.021</v>
      </c>
      <c r="G61" s="14" t="n">
        <f aca="false">CHOOSE($C$5,G58,G59,G60)</f>
        <v>0.021</v>
      </c>
    </row>
    <row r="63" customFormat="false" ht="15" hidden="false" customHeight="false" outlineLevel="0" collapsed="false">
      <c r="A63" s="5" t="s">
        <v>86</v>
      </c>
      <c r="B63" s="13" t="n">
        <v>0.012</v>
      </c>
      <c r="C63" s="13" t="n">
        <v>0.01</v>
      </c>
      <c r="D63" s="13" t="n">
        <v>0.009</v>
      </c>
      <c r="E63" s="13" t="n">
        <v>0.008</v>
      </c>
      <c r="F63" s="13" t="n">
        <v>0.007</v>
      </c>
      <c r="G63" s="13" t="n">
        <v>0.006</v>
      </c>
      <c r="I63" s="11" t="s">
        <v>87</v>
      </c>
    </row>
    <row r="64" customFormat="false" ht="15" hidden="false" customHeight="false" outlineLevel="0" collapsed="false">
      <c r="A64" s="5" t="s">
        <v>88</v>
      </c>
      <c r="B64" s="13" t="n">
        <v>0.015</v>
      </c>
      <c r="C64" s="13" t="n">
        <v>0.014</v>
      </c>
      <c r="D64" s="13" t="n">
        <v>0.013</v>
      </c>
      <c r="E64" s="13" t="n">
        <v>0.012</v>
      </c>
      <c r="F64" s="13" t="n">
        <v>0.011</v>
      </c>
      <c r="G64" s="13" t="n">
        <v>0.01</v>
      </c>
    </row>
    <row r="65" customFormat="false" ht="15" hidden="false" customHeight="false" outlineLevel="0" collapsed="false">
      <c r="A65" s="5" t="s">
        <v>89</v>
      </c>
      <c r="B65" s="13" t="n">
        <v>0.01</v>
      </c>
      <c r="C65" s="13" t="n">
        <v>0.008</v>
      </c>
      <c r="D65" s="13" t="n">
        <v>0.006</v>
      </c>
      <c r="E65" s="13" t="n">
        <v>0.005</v>
      </c>
      <c r="F65" s="13" t="n">
        <v>0.004</v>
      </c>
      <c r="G65" s="13" t="n">
        <v>0.003</v>
      </c>
    </row>
    <row r="66" customFormat="false" ht="15" hidden="false" customHeight="false" outlineLevel="0" collapsed="false">
      <c r="A66" s="4" t="s">
        <v>90</v>
      </c>
      <c r="B66" s="14" t="n">
        <f aca="false">CHOOSE($C$5,B63,B64,B65)</f>
        <v>0.012</v>
      </c>
      <c r="C66" s="14" t="n">
        <f aca="false">CHOOSE($C$5,C63,C64,C65)</f>
        <v>0.01</v>
      </c>
      <c r="D66" s="14" t="n">
        <f aca="false">CHOOSE($C$5,D63,D64,D65)</f>
        <v>0.009</v>
      </c>
      <c r="E66" s="14" t="n">
        <f aca="false">CHOOSE($C$5,E63,E64,E65)</f>
        <v>0.008</v>
      </c>
      <c r="F66" s="14" t="n">
        <f aca="false">CHOOSE($C$5,F63,F64,F65)</f>
        <v>0.007</v>
      </c>
      <c r="G66" s="14" t="n">
        <f aca="false">CHOOSE($C$5,G63,G64,G65)</f>
        <v>0.006</v>
      </c>
    </row>
    <row r="68" customFormat="false" ht="15" hidden="false" customHeight="false" outlineLevel="0" collapsed="false">
      <c r="A68" s="5" t="s">
        <v>91</v>
      </c>
      <c r="B68" s="9" t="n">
        <v>4450</v>
      </c>
      <c r="C68" s="9" t="n">
        <v>4400</v>
      </c>
      <c r="D68" s="9" t="n">
        <v>4300</v>
      </c>
      <c r="E68" s="9" t="n">
        <v>4200</v>
      </c>
      <c r="F68" s="9" t="n">
        <v>4100</v>
      </c>
      <c r="G68" s="9" t="n">
        <v>4000</v>
      </c>
      <c r="I68" s="11" t="s">
        <v>92</v>
      </c>
    </row>
    <row r="69" customFormat="false" ht="15" hidden="false" customHeight="false" outlineLevel="0" collapsed="false">
      <c r="A69" s="5" t="s">
        <v>93</v>
      </c>
      <c r="B69" s="9" t="n">
        <v>4450</v>
      </c>
      <c r="C69" s="9" t="n">
        <v>4400</v>
      </c>
      <c r="D69" s="9" t="n">
        <v>4300</v>
      </c>
      <c r="E69" s="9" t="n">
        <v>4200</v>
      </c>
      <c r="F69" s="9" t="n">
        <v>4100</v>
      </c>
      <c r="G69" s="9" t="n">
        <v>4000</v>
      </c>
    </row>
    <row r="70" customFormat="false" ht="15" hidden="false" customHeight="false" outlineLevel="0" collapsed="false">
      <c r="A70" s="5" t="s">
        <v>94</v>
      </c>
      <c r="B70" s="9" t="n">
        <v>4450</v>
      </c>
      <c r="C70" s="9" t="n">
        <v>4400</v>
      </c>
      <c r="D70" s="9" t="n">
        <v>4300</v>
      </c>
      <c r="E70" s="9" t="n">
        <v>4200</v>
      </c>
      <c r="F70" s="9" t="n">
        <v>4100</v>
      </c>
      <c r="G70" s="9" t="n">
        <v>4000</v>
      </c>
    </row>
    <row r="71" customFormat="false" ht="15" hidden="false" customHeight="false" outlineLevel="0" collapsed="false">
      <c r="A71" s="4" t="s">
        <v>95</v>
      </c>
      <c r="B71" s="15" t="n">
        <f aca="false">CHOOSE($C$5,B68,B69,B70)</f>
        <v>4450</v>
      </c>
      <c r="C71" s="15" t="n">
        <f aca="false">CHOOSE($C$5,C68,C69,C70)</f>
        <v>4400</v>
      </c>
      <c r="D71" s="15" t="n">
        <f aca="false">CHOOSE($C$5,D68,D69,D70)</f>
        <v>4300</v>
      </c>
      <c r="E71" s="15" t="n">
        <f aca="false">CHOOSE($C$5,E68,E69,E70)</f>
        <v>4200</v>
      </c>
      <c r="F71" s="15" t="n">
        <f aca="false">CHOOSE($C$5,F68,F69,F70)</f>
        <v>4100</v>
      </c>
      <c r="G71" s="15" t="n">
        <f aca="false">CHOOSE($C$5,G68,G69,G70)</f>
        <v>4000</v>
      </c>
    </row>
    <row r="73" customFormat="false" ht="15" hidden="false" customHeight="false" outlineLevel="0" collapsed="false">
      <c r="A73" s="7" t="s">
        <v>96</v>
      </c>
      <c r="B73" s="8" t="s">
        <v>97</v>
      </c>
      <c r="C73" s="8"/>
      <c r="D73" s="8"/>
      <c r="E73" s="8"/>
      <c r="F73" s="8"/>
      <c r="G73" s="8"/>
      <c r="H73" s="8"/>
      <c r="I73" s="8" t="s">
        <v>18</v>
      </c>
    </row>
    <row r="74" customFormat="false" ht="15" hidden="false" customHeight="false" outlineLevel="0" collapsed="false">
      <c r="A74" s="5" t="s">
        <v>98</v>
      </c>
      <c r="B74" s="16" t="n">
        <v>7.77</v>
      </c>
      <c r="I74" s="11" t="s">
        <v>99</v>
      </c>
    </row>
    <row r="75" customFormat="false" ht="15" hidden="false" customHeight="false" outlineLevel="0" collapsed="false">
      <c r="A75" s="5" t="s">
        <v>100</v>
      </c>
      <c r="B75" s="9" t="n">
        <v>5040</v>
      </c>
      <c r="I75" s="11" t="s">
        <v>101</v>
      </c>
    </row>
    <row r="76" customFormat="false" ht="15" hidden="false" customHeight="false" outlineLevel="0" collapsed="false">
      <c r="A76" s="5" t="s">
        <v>102</v>
      </c>
      <c r="B76" s="17" t="n">
        <v>470.75</v>
      </c>
      <c r="I76" s="11" t="s">
        <v>103</v>
      </c>
    </row>
    <row r="77" customFormat="false" ht="15" hidden="false" customHeight="false" outlineLevel="0" collapsed="false">
      <c r="A77" s="5" t="s">
        <v>104</v>
      </c>
      <c r="B77" s="16" t="n">
        <v>12</v>
      </c>
      <c r="I77" s="11" t="s">
        <v>105</v>
      </c>
    </row>
    <row r="78" customFormat="false" ht="15" hidden="false" customHeight="false" outlineLevel="0" collapsed="false">
      <c r="A78" s="5" t="s">
        <v>106</v>
      </c>
      <c r="B78" s="9" t="n">
        <v>89300</v>
      </c>
      <c r="I78" s="11" t="s">
        <v>107</v>
      </c>
    </row>
    <row r="79" customFormat="false" ht="15" hidden="false" customHeight="false" outlineLevel="0" collapsed="false">
      <c r="A79" s="5" t="s">
        <v>108</v>
      </c>
      <c r="B79" s="9" t="n">
        <v>5000</v>
      </c>
      <c r="I79" s="11" t="s">
        <v>107</v>
      </c>
    </row>
    <row r="80" customFormat="false" ht="15" hidden="false" customHeight="false" outlineLevel="0" collapsed="false">
      <c r="A80" s="5" t="s">
        <v>109</v>
      </c>
      <c r="B80" s="9" t="n">
        <v>1039</v>
      </c>
      <c r="I80" s="11" t="s">
        <v>110</v>
      </c>
    </row>
    <row r="81" customFormat="false" ht="15" hidden="false" customHeight="false" outlineLevel="0" collapsed="false">
      <c r="A81" s="5" t="s">
        <v>111</v>
      </c>
      <c r="B81" s="18" t="s">
        <v>112</v>
      </c>
      <c r="I81" s="11" t="s">
        <v>113</v>
      </c>
    </row>
    <row r="82" customFormat="false" ht="15" hidden="false" customHeight="false" outlineLevel="0" collapsed="false">
      <c r="A82" s="5" t="s">
        <v>114</v>
      </c>
      <c r="B82" s="13" t="n">
        <v>0.19</v>
      </c>
      <c r="I82" s="11" t="s">
        <v>115</v>
      </c>
    </row>
    <row r="83" customFormat="false" ht="15" hidden="false" customHeight="false" outlineLevel="0" collapsed="false">
      <c r="A83" s="5" t="s">
        <v>116</v>
      </c>
      <c r="B83" s="13" t="n">
        <v>0.015</v>
      </c>
      <c r="I83" s="11" t="s">
        <v>117</v>
      </c>
    </row>
    <row r="84" customFormat="false" ht="15" hidden="false" customHeight="false" outlineLevel="0" collapsed="false">
      <c r="A84" s="5" t="s">
        <v>118</v>
      </c>
      <c r="B84" s="19" t="n">
        <v>7</v>
      </c>
      <c r="I84" s="11" t="s">
        <v>119</v>
      </c>
    </row>
    <row r="85" customFormat="false" ht="15" hidden="false" customHeight="false" outlineLevel="0" collapsed="false">
      <c r="A85" s="5" t="s">
        <v>120</v>
      </c>
      <c r="B85" s="13" t="n">
        <v>0.23</v>
      </c>
      <c r="I85" s="11"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2"/>
    <col collapsed="false" customWidth="true" hidden="false" outlineLevel="0" max="7" min="7" style="0" width="50"/>
  </cols>
  <sheetData>
    <row r="1" customFormat="false" ht="17.35" hidden="false" customHeight="false" outlineLevel="0" collapsed="false">
      <c r="A1" s="1" t="s">
        <v>122</v>
      </c>
    </row>
    <row r="2" customFormat="false" ht="15" hidden="false" customHeight="false" outlineLevel="0" collapsed="false">
      <c r="A2" s="2" t="s">
        <v>1</v>
      </c>
    </row>
    <row r="4" customFormat="false" ht="15" hidden="false" customHeight="false" outlineLevel="0" collapsed="false">
      <c r="A4" s="7" t="s">
        <v>123</v>
      </c>
      <c r="B4" s="8" t="s">
        <v>124</v>
      </c>
      <c r="C4" s="8" t="s">
        <v>125</v>
      </c>
      <c r="D4" s="8" t="s">
        <v>126</v>
      </c>
      <c r="E4" s="8" t="s">
        <v>127</v>
      </c>
      <c r="F4" s="8" t="s">
        <v>128</v>
      </c>
      <c r="G4" s="8" t="s">
        <v>18</v>
      </c>
    </row>
    <row r="5" customFormat="false" ht="15" hidden="false" customHeight="false" outlineLevel="0" collapsed="false">
      <c r="A5" s="5" t="s">
        <v>129</v>
      </c>
      <c r="B5" s="9" t="n">
        <v>30154</v>
      </c>
      <c r="C5" s="9" t="n">
        <v>29652</v>
      </c>
      <c r="D5" s="9" t="n">
        <v>29213</v>
      </c>
      <c r="E5" s="9" t="n">
        <v>28891</v>
      </c>
      <c r="F5" s="9" t="n">
        <v>14260</v>
      </c>
      <c r="G5" s="11" t="s">
        <v>130</v>
      </c>
    </row>
    <row r="6" customFormat="false" ht="15" hidden="false" customHeight="false" outlineLevel="0" collapsed="false">
      <c r="A6" s="5" t="s">
        <v>131</v>
      </c>
      <c r="B6" s="9" t="n">
        <v>3276</v>
      </c>
      <c r="C6" s="9" t="n">
        <v>2390</v>
      </c>
      <c r="D6" s="9" t="n">
        <v>3118</v>
      </c>
      <c r="E6" s="9" t="n">
        <v>3076</v>
      </c>
      <c r="G6" s="11" t="s">
        <v>132</v>
      </c>
    </row>
    <row r="7" customFormat="false" ht="15" hidden="false" customHeight="false" outlineLevel="0" collapsed="false">
      <c r="A7" s="5" t="s">
        <v>133</v>
      </c>
      <c r="F7" s="9" t="n">
        <v>2260</v>
      </c>
      <c r="G7" s="11" t="s">
        <v>134</v>
      </c>
    </row>
    <row r="8" customFormat="false" ht="15" hidden="false" customHeight="false" outlineLevel="0" collapsed="false">
      <c r="A8" s="5" t="s">
        <v>135</v>
      </c>
      <c r="B8" s="9" t="n">
        <v>2342</v>
      </c>
      <c r="C8" s="9" t="n">
        <v>-451</v>
      </c>
      <c r="D8" s="9" t="n">
        <v>-5269</v>
      </c>
      <c r="E8" s="9" t="n">
        <v>934</v>
      </c>
      <c r="F8" s="9" t="n">
        <v>1091</v>
      </c>
      <c r="G8" s="11" t="s">
        <v>130</v>
      </c>
    </row>
    <row r="9" customFormat="false" ht="15" hidden="false" customHeight="false" outlineLevel="0" collapsed="false">
      <c r="A9" s="5" t="s">
        <v>136</v>
      </c>
      <c r="B9" s="9" t="n">
        <v>378</v>
      </c>
      <c r="C9" s="9" t="n">
        <v>418</v>
      </c>
      <c r="D9" s="9" t="n">
        <v>392</v>
      </c>
      <c r="E9" s="9" t="n">
        <v>794</v>
      </c>
      <c r="F9" s="9" t="n">
        <v>726</v>
      </c>
      <c r="G9" s="11" t="s">
        <v>130</v>
      </c>
    </row>
    <row r="10" customFormat="false" ht="15" hidden="false" customHeight="false" outlineLevel="0" collapsed="false">
      <c r="A10" s="5" t="s">
        <v>137</v>
      </c>
      <c r="B10" s="9" t="n">
        <v>172</v>
      </c>
      <c r="C10" s="9" t="n">
        <v>177</v>
      </c>
      <c r="D10" s="9" t="n">
        <v>245</v>
      </c>
      <c r="E10" s="9" t="n">
        <v>273</v>
      </c>
      <c r="F10" s="9" t="n">
        <v>152</v>
      </c>
      <c r="G10" s="11" t="s">
        <v>130</v>
      </c>
    </row>
    <row r="11" customFormat="false" ht="15" hidden="false" customHeight="false" outlineLevel="0" collapsed="false">
      <c r="A11" s="5" t="s">
        <v>138</v>
      </c>
      <c r="B11" s="9" t="n">
        <v>585</v>
      </c>
      <c r="C11" s="9" t="n">
        <v>-31</v>
      </c>
      <c r="D11" s="9" t="n">
        <v>747</v>
      </c>
      <c r="E11" s="9" t="n">
        <v>1185</v>
      </c>
      <c r="F11" s="9" t="n">
        <v>291</v>
      </c>
      <c r="G11" s="11" t="s">
        <v>130</v>
      </c>
    </row>
    <row r="12" customFormat="false" ht="15" hidden="false" customHeight="false" outlineLevel="0" collapsed="false">
      <c r="A12" s="5" t="s">
        <v>139</v>
      </c>
      <c r="B12" s="9" t="n">
        <v>-142</v>
      </c>
      <c r="C12" s="9" t="n">
        <v>384</v>
      </c>
      <c r="D12" s="9" t="n">
        <v>752</v>
      </c>
      <c r="E12" s="9" t="n">
        <v>649</v>
      </c>
      <c r="F12" s="9" t="n">
        <v>504</v>
      </c>
      <c r="G12" s="11" t="s">
        <v>130</v>
      </c>
    </row>
    <row r="13" customFormat="false" ht="15" hidden="false" customHeight="false" outlineLevel="0" collapsed="false">
      <c r="A13" s="5" t="s">
        <v>140</v>
      </c>
      <c r="B13" s="9" t="n">
        <v>358</v>
      </c>
      <c r="C13" s="9" t="n">
        <v>328</v>
      </c>
      <c r="D13" s="9" t="n">
        <v>263</v>
      </c>
      <c r="E13" s="9" t="n">
        <v>296</v>
      </c>
      <c r="F13" s="9" t="n">
        <v>150</v>
      </c>
      <c r="G13" s="11" t="s">
        <v>130</v>
      </c>
    </row>
    <row r="14" customFormat="false" ht="15" hidden="false" customHeight="false" outlineLevel="0" collapsed="false">
      <c r="A14" s="5" t="s">
        <v>141</v>
      </c>
      <c r="B14" s="9" t="n">
        <v>-500</v>
      </c>
      <c r="C14" s="9" t="n">
        <v>56</v>
      </c>
      <c r="D14" s="9" t="n">
        <v>489</v>
      </c>
      <c r="E14" s="9" t="n">
        <v>353</v>
      </c>
      <c r="F14" s="9" t="n">
        <v>354</v>
      </c>
      <c r="G14" s="11" t="s">
        <v>130</v>
      </c>
    </row>
    <row r="15" customFormat="false" ht="15" hidden="false" customHeight="false" outlineLevel="0" collapsed="false">
      <c r="A15" s="5" t="s">
        <v>142</v>
      </c>
      <c r="C15" s="17" t="n">
        <v>67.5</v>
      </c>
      <c r="E15" s="17" t="n">
        <v>78.9</v>
      </c>
      <c r="F15" s="17" t="n">
        <v>81.6</v>
      </c>
      <c r="G15" s="11" t="s">
        <v>130</v>
      </c>
    </row>
    <row r="16" customFormat="false" ht="15" hidden="false" customHeight="false" outlineLevel="0" collapsed="false">
      <c r="A16" s="5" t="s">
        <v>143</v>
      </c>
      <c r="B16" s="20" t="n">
        <f aca="false">IF(B5=0,0,B6/B5)</f>
        <v>0.108642302845394</v>
      </c>
      <c r="C16" s="20" t="n">
        <f aca="false">IF(C5=0,0,C6/C5)</f>
        <v>0.0806016457574531</v>
      </c>
      <c r="D16" s="20" t="n">
        <f aca="false">IF(D5=0,0,D6/D5)</f>
        <v>0.106733303666176</v>
      </c>
      <c r="E16" s="20" t="n">
        <f aca="false">IF(E5=0,0,E6/E5)</f>
        <v>0.106469142639576</v>
      </c>
    </row>
    <row r="17" customFormat="false" ht="15" hidden="false" customHeight="false" outlineLevel="0" collapsed="false">
      <c r="A17" s="5" t="s">
        <v>144</v>
      </c>
      <c r="B17" s="20" t="n">
        <f aca="false">IF(B5=0,0,B14/B5)</f>
        <v>-0.0165815480533263</v>
      </c>
      <c r="C17" s="20" t="n">
        <f aca="false">IF(C5=0,0,C14/C5)</f>
        <v>0.00188857412653447</v>
      </c>
      <c r="D17" s="20" t="n">
        <f aca="false">IF(D5=0,0,D14/D5)</f>
        <v>0.016739122993188</v>
      </c>
      <c r="E17" s="20" t="n">
        <f aca="false">IF(E5=0,0,E14/E5)</f>
        <v>0.0122183378906926</v>
      </c>
      <c r="F17" s="20" t="n">
        <f aca="false">IF(F5=0,0,F14/F5)</f>
        <v>0.0248246844319776</v>
      </c>
    </row>
    <row r="20" customFormat="false" ht="15" hidden="false" customHeight="false" outlineLevel="0" collapsed="false">
      <c r="A20" s="7" t="s">
        <v>145</v>
      </c>
      <c r="B20" s="8"/>
      <c r="C20" s="8"/>
      <c r="D20" s="8"/>
      <c r="E20" s="8" t="s">
        <v>127</v>
      </c>
      <c r="F20" s="8" t="s">
        <v>146</v>
      </c>
      <c r="G20" s="8" t="s">
        <v>18</v>
      </c>
    </row>
    <row r="21" customFormat="false" ht="15" hidden="false" customHeight="false" outlineLevel="0" collapsed="false">
      <c r="A21" s="5" t="s">
        <v>129</v>
      </c>
      <c r="E21" s="9" t="n">
        <v>37300</v>
      </c>
      <c r="F21" s="9" t="n">
        <v>8717</v>
      </c>
      <c r="G21" s="11" t="s">
        <v>147</v>
      </c>
    </row>
    <row r="22" customFormat="false" ht="15" hidden="false" customHeight="false" outlineLevel="0" collapsed="false">
      <c r="A22" s="5" t="s">
        <v>148</v>
      </c>
      <c r="E22" s="9" t="n">
        <v>8700</v>
      </c>
      <c r="F22" s="9" t="n">
        <v>1879</v>
      </c>
      <c r="G22" s="11" t="s">
        <v>147</v>
      </c>
    </row>
    <row r="23" customFormat="false" ht="15" hidden="false" customHeight="false" outlineLevel="0" collapsed="false">
      <c r="A23" s="5" t="s">
        <v>149</v>
      </c>
      <c r="F23" s="9" t="n">
        <v>3079</v>
      </c>
      <c r="G23" s="11" t="s">
        <v>150</v>
      </c>
    </row>
    <row r="24" customFormat="false" ht="15" hidden="false" customHeight="false" outlineLevel="0" collapsed="false">
      <c r="A24" s="5" t="s">
        <v>151</v>
      </c>
      <c r="F24" s="9" t="n">
        <v>2328</v>
      </c>
      <c r="G24" s="11" t="s">
        <v>150</v>
      </c>
    </row>
    <row r="25" customFormat="false" ht="15" hidden="false" customHeight="false" outlineLevel="0" collapsed="false">
      <c r="A25" s="5" t="s">
        <v>152</v>
      </c>
      <c r="F25" s="9" t="n">
        <v>3991</v>
      </c>
      <c r="G25" s="11" t="s">
        <v>150</v>
      </c>
    </row>
    <row r="26" customFormat="false" ht="15" hidden="false" customHeight="false" outlineLevel="0" collapsed="false">
      <c r="A26" s="5" t="s">
        <v>153</v>
      </c>
      <c r="F26" s="9" t="n">
        <v>512</v>
      </c>
      <c r="G26" s="11" t="s">
        <v>150</v>
      </c>
    </row>
    <row r="27" customFormat="false" ht="15" hidden="false" customHeight="false" outlineLevel="0" collapsed="false">
      <c r="A27" s="5" t="s">
        <v>154</v>
      </c>
      <c r="F27" s="9" t="n">
        <v>96</v>
      </c>
      <c r="G27" s="11" t="s">
        <v>150</v>
      </c>
    </row>
    <row r="28" customFormat="false" ht="15" hidden="false" customHeight="false" outlineLevel="0" collapsed="false">
      <c r="A28" s="5" t="s">
        <v>155</v>
      </c>
      <c r="F28" s="9" t="n">
        <v>1446</v>
      </c>
      <c r="G28" s="11" t="s">
        <v>150</v>
      </c>
    </row>
    <row r="29" customFormat="false" ht="15" hidden="false" customHeight="false" outlineLevel="0" collapsed="false">
      <c r="A29" s="5" t="s">
        <v>139</v>
      </c>
      <c r="E29" s="9" t="n">
        <v>4300</v>
      </c>
      <c r="F29" s="9" t="n">
        <v>848</v>
      </c>
      <c r="G29" s="11" t="s">
        <v>147</v>
      </c>
    </row>
    <row r="30" customFormat="false" ht="15" hidden="false" customHeight="false" outlineLevel="0" collapsed="false">
      <c r="A30" s="5" t="s">
        <v>140</v>
      </c>
      <c r="F30" s="9" t="n">
        <v>276</v>
      </c>
      <c r="G30" s="11" t="s">
        <v>150</v>
      </c>
    </row>
    <row r="31" customFormat="false" ht="15" hidden="false" customHeight="false" outlineLevel="0" collapsed="false">
      <c r="A31" s="5" t="s">
        <v>141</v>
      </c>
      <c r="E31" s="9" t="n">
        <v>3100</v>
      </c>
      <c r="F31" s="9" t="n">
        <v>572</v>
      </c>
      <c r="G31" s="11" t="s">
        <v>147</v>
      </c>
    </row>
    <row r="32" customFormat="false" ht="15" hidden="false" customHeight="false" outlineLevel="0" collapsed="false">
      <c r="A32" s="5" t="s">
        <v>156</v>
      </c>
      <c r="E32" s="9" t="n">
        <v>29000</v>
      </c>
      <c r="F32" s="9" t="n">
        <v>29700</v>
      </c>
      <c r="G32" s="11" t="s">
        <v>147</v>
      </c>
    </row>
    <row r="33" customFormat="false" ht="15" hidden="false" customHeight="false" outlineLevel="0" collapsed="false">
      <c r="A33" s="5" t="s">
        <v>157</v>
      </c>
      <c r="E33" s="19" t="n">
        <v>3.3</v>
      </c>
      <c r="F33" s="19" t="n">
        <v>3.4</v>
      </c>
      <c r="G33" s="11" t="s">
        <v>147</v>
      </c>
    </row>
    <row r="35" customFormat="false" ht="15" hidden="false" customHeight="false" outlineLevel="0" collapsed="false">
      <c r="A35" s="2"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6"/>
  </cols>
  <sheetData>
    <row r="1" customFormat="false" ht="17.35" hidden="false" customHeight="false" outlineLevel="0" collapsed="false">
      <c r="A1" s="1" t="s">
        <v>159</v>
      </c>
    </row>
    <row r="2" customFormat="false" ht="15" hidden="false" customHeight="false" outlineLevel="0" collapsed="false">
      <c r="A2" s="2" t="s">
        <v>1</v>
      </c>
    </row>
    <row r="4" customFormat="false" ht="15" hidden="false" customHeight="false" outlineLevel="0" collapsed="false">
      <c r="A4" s="7" t="s">
        <v>160</v>
      </c>
      <c r="B4" s="8" t="s">
        <v>39</v>
      </c>
      <c r="C4" s="8" t="s">
        <v>40</v>
      </c>
      <c r="D4" s="8" t="s">
        <v>41</v>
      </c>
      <c r="E4" s="8" t="s">
        <v>42</v>
      </c>
      <c r="F4" s="8" t="s">
        <v>43</v>
      </c>
      <c r="G4" s="8" t="s">
        <v>44</v>
      </c>
      <c r="H4" s="8" t="s">
        <v>45</v>
      </c>
    </row>
    <row r="5" customFormat="false" ht="15" hidden="false" customHeight="false" outlineLevel="0" collapsed="false">
      <c r="A5" s="5" t="s">
        <v>149</v>
      </c>
      <c r="B5" s="21" t="n">
        <f aca="false">Inputs!D17</f>
        <v>21300</v>
      </c>
      <c r="C5" s="10" t="n">
        <f aca="false">B5*(1+Inputs!C$26)</f>
        <v>23004</v>
      </c>
      <c r="D5" s="10" t="n">
        <f aca="false">C5*(1+Inputs!D$26)</f>
        <v>24614.28</v>
      </c>
      <c r="E5" s="10" t="n">
        <f aca="false">D5*(1+Inputs!E$26)</f>
        <v>26091.1368</v>
      </c>
      <c r="F5" s="10" t="n">
        <f aca="false">E5*(1+Inputs!F$26)</f>
        <v>27395.69364</v>
      </c>
      <c r="G5" s="10" t="n">
        <f aca="false">F5*(1+Inputs!G$26)</f>
        <v>28491.5213856</v>
      </c>
      <c r="H5" s="11" t="s">
        <v>161</v>
      </c>
    </row>
    <row r="6" customFormat="false" ht="15" hidden="false" customHeight="false" outlineLevel="0" collapsed="false">
      <c r="A6" s="5" t="s">
        <v>162</v>
      </c>
      <c r="B6" s="21" t="n">
        <f aca="false">Inputs!D18</f>
        <v>30000</v>
      </c>
      <c r="C6" s="10" t="n">
        <f aca="false">B6*(1+Inputs!C$31)</f>
        <v>27600</v>
      </c>
      <c r="D6" s="10" t="n">
        <f aca="false">C6*(1+Inputs!D$31)</f>
        <v>25668</v>
      </c>
      <c r="E6" s="10" t="n">
        <f aca="false">D6*(1+Inputs!E$31)</f>
        <v>23871.24</v>
      </c>
      <c r="F6" s="10" t="n">
        <f aca="false">E6*(1+Inputs!F$31)</f>
        <v>22438.9656</v>
      </c>
      <c r="G6" s="10" t="n">
        <f aca="false">F6*(1+Inputs!G$31)</f>
        <v>21092.627664</v>
      </c>
    </row>
    <row r="7" customFormat="false" ht="15" hidden="false" customHeight="false" outlineLevel="0" collapsed="false">
      <c r="A7" s="5" t="s">
        <v>163</v>
      </c>
      <c r="B7" s="21" t="n">
        <f aca="false">Inputs!D19</f>
        <v>15500</v>
      </c>
      <c r="C7" s="10" t="n">
        <f aca="false">B7*(1+Inputs!C$36)</f>
        <v>15965</v>
      </c>
      <c r="D7" s="10" t="n">
        <f aca="false">C7*(1+Inputs!D$36)</f>
        <v>16443.95</v>
      </c>
      <c r="E7" s="10" t="n">
        <f aca="false">D7*(1+Inputs!E$36)</f>
        <v>16937.2685</v>
      </c>
      <c r="F7" s="10" t="n">
        <f aca="false">E7*(1+Inputs!F$36)</f>
        <v>17445.386555</v>
      </c>
      <c r="G7" s="10" t="n">
        <f aca="false">F7*(1+Inputs!G$36)</f>
        <v>17968.74815165</v>
      </c>
    </row>
    <row r="8" customFormat="false" ht="15" hidden="false" customHeight="false" outlineLevel="0" collapsed="false">
      <c r="A8" s="22" t="s">
        <v>164</v>
      </c>
      <c r="B8" s="23" t="n">
        <f aca="false">SUM(B5:B7)</f>
        <v>66800</v>
      </c>
      <c r="C8" s="23" t="n">
        <f aca="false">SUM(C5:C7)</f>
        <v>66569</v>
      </c>
      <c r="D8" s="23" t="n">
        <f aca="false">SUM(D5:D7)</f>
        <v>66726.23</v>
      </c>
      <c r="E8" s="23" t="n">
        <f aca="false">SUM(E5:E7)</f>
        <v>66899.6453</v>
      </c>
      <c r="F8" s="23" t="n">
        <f aca="false">SUM(F5:F7)</f>
        <v>67280.045795</v>
      </c>
      <c r="G8" s="23" t="n">
        <f aca="false">SUM(G5:G7)</f>
        <v>67552.89720125</v>
      </c>
    </row>
    <row r="9" customFormat="false" ht="15" hidden="false" customHeight="false" outlineLevel="0" collapsed="false">
      <c r="A9" s="5" t="s">
        <v>165</v>
      </c>
      <c r="B9" s="20"/>
      <c r="C9" s="20" t="n">
        <f aca="false">C8/B8-1</f>
        <v>-0.00345808383233537</v>
      </c>
      <c r="D9" s="20" t="n">
        <f aca="false">D8/C8-1</f>
        <v>0.00236191019844068</v>
      </c>
      <c r="E9" s="20" t="n">
        <f aca="false">E8/D8-1</f>
        <v>0.00259890750608882</v>
      </c>
      <c r="F9" s="20" t="n">
        <f aca="false">F8/E8-1</f>
        <v>0.0056861362013827</v>
      </c>
      <c r="G9" s="20" t="n">
        <f aca="false">G8/F8-1</f>
        <v>0.00405545809349439</v>
      </c>
    </row>
    <row r="11" customFormat="false" ht="15" hidden="false" customHeight="false" outlineLevel="0" collapsed="false">
      <c r="A11" s="5" t="s">
        <v>166</v>
      </c>
      <c r="B11" s="10" t="n">
        <f aca="false">B8*Inputs!B$41</f>
        <v>12291.2</v>
      </c>
      <c r="C11" s="10" t="n">
        <f aca="false">C8*Inputs!C$41</f>
        <v>11849.282</v>
      </c>
      <c r="D11" s="10" t="n">
        <f aca="false">D8*Inputs!D$41</f>
        <v>11476.91156</v>
      </c>
      <c r="E11" s="10" t="n">
        <f aca="false">E8*Inputs!E$41</f>
        <v>11172.2407651</v>
      </c>
      <c r="F11" s="10" t="n">
        <f aca="false">F8*Inputs!F$41</f>
        <v>10966.647464585</v>
      </c>
      <c r="G11" s="10" t="n">
        <f aca="false">G8*Inputs!G$41</f>
        <v>10808.4635522</v>
      </c>
    </row>
    <row r="12" customFormat="false" ht="15" hidden="false" customHeight="false" outlineLevel="0" collapsed="false">
      <c r="A12" s="5" t="s">
        <v>167</v>
      </c>
      <c r="B12" s="21" t="n">
        <f aca="false">Inputs!B$46</f>
        <v>0</v>
      </c>
      <c r="C12" s="21" t="n">
        <f aca="false">Inputs!C$46</f>
        <v>1750</v>
      </c>
      <c r="D12" s="21" t="n">
        <f aca="false">Inputs!D$46</f>
        <v>3750</v>
      </c>
      <c r="E12" s="21" t="n">
        <f aca="false">Inputs!E$46</f>
        <v>5100</v>
      </c>
      <c r="F12" s="21" t="n">
        <f aca="false">Inputs!F$46</f>
        <v>5400</v>
      </c>
      <c r="G12" s="21" t="n">
        <f aca="false">Inputs!G$46</f>
        <v>5500</v>
      </c>
    </row>
    <row r="13" customFormat="false" ht="15" hidden="false" customHeight="false" outlineLevel="0" collapsed="false">
      <c r="A13" s="22" t="s">
        <v>148</v>
      </c>
      <c r="B13" s="23" t="n">
        <f aca="false">B11+B12</f>
        <v>12291.2</v>
      </c>
      <c r="C13" s="23" t="n">
        <f aca="false">C11+C12</f>
        <v>13599.282</v>
      </c>
      <c r="D13" s="23" t="n">
        <f aca="false">D11+D12</f>
        <v>15226.91156</v>
      </c>
      <c r="E13" s="23" t="n">
        <f aca="false">E11+E12</f>
        <v>16272.2407651</v>
      </c>
      <c r="F13" s="23" t="n">
        <f aca="false">F11+F12</f>
        <v>16366.647464585</v>
      </c>
      <c r="G13" s="23" t="n">
        <f aca="false">G11+G12</f>
        <v>16308.4635522</v>
      </c>
    </row>
    <row r="14" customFormat="false" ht="15" hidden="false" customHeight="false" outlineLevel="0" collapsed="false">
      <c r="A14" s="5" t="s">
        <v>168</v>
      </c>
      <c r="B14" s="20" t="n">
        <f aca="false">B13/B8</f>
        <v>0.184</v>
      </c>
      <c r="C14" s="20" t="n">
        <f aca="false">C13/C8</f>
        <v>0.204288512671063</v>
      </c>
      <c r="D14" s="20" t="n">
        <f aca="false">D13/D8</f>
        <v>0.228199788299144</v>
      </c>
      <c r="E14" s="20" t="n">
        <f aca="false">E13/E8</f>
        <v>0.243233588042656</v>
      </c>
      <c r="F14" s="20" t="n">
        <f aca="false">F13/F8</f>
        <v>0.243261538710209</v>
      </c>
      <c r="G14" s="20" t="n">
        <f aca="false">G13/G8</f>
        <v>0.241417677521879</v>
      </c>
    </row>
    <row r="15" customFormat="false" ht="15" hidden="false" customHeight="false" outlineLevel="0" collapsed="false">
      <c r="A15" s="5" t="s">
        <v>169</v>
      </c>
      <c r="B15" s="21" t="n">
        <f aca="false">-Inputs!B$56</f>
        <v>-900</v>
      </c>
      <c r="C15" s="21" t="n">
        <f aca="false">-Inputs!C$56</f>
        <v>-900</v>
      </c>
      <c r="D15" s="21" t="n">
        <f aca="false">-Inputs!D$56</f>
        <v>-900</v>
      </c>
      <c r="E15" s="21" t="n">
        <f aca="false">-Inputs!E$56</f>
        <v>-900</v>
      </c>
      <c r="F15" s="21" t="n">
        <f aca="false">-Inputs!F$56</f>
        <v>-900</v>
      </c>
      <c r="G15" s="21" t="n">
        <f aca="false">-Inputs!G$56</f>
        <v>-900</v>
      </c>
    </row>
    <row r="16" customFormat="false" ht="15" hidden="false" customHeight="false" outlineLevel="0" collapsed="false">
      <c r="A16" s="5" t="s">
        <v>170</v>
      </c>
      <c r="B16" s="21" t="n">
        <f aca="false">-Inputs!B$51</f>
        <v>-1500</v>
      </c>
      <c r="C16" s="21" t="n">
        <f aca="false">-Inputs!C$51</f>
        <v>-2500</v>
      </c>
      <c r="D16" s="21" t="n">
        <f aca="false">-Inputs!D$51</f>
        <v>-2000</v>
      </c>
      <c r="E16" s="21" t="n">
        <f aca="false">-Inputs!E$51</f>
        <v>-800</v>
      </c>
      <c r="F16" s="21" t="n">
        <f aca="false">-Inputs!F$51</f>
        <v>-300</v>
      </c>
      <c r="G16" s="21" t="n">
        <f aca="false">-Inputs!G$51</f>
        <v>-0</v>
      </c>
    </row>
    <row r="17" customFormat="false" ht="15" hidden="false" customHeight="false" outlineLevel="0" collapsed="false">
      <c r="A17" s="5" t="s">
        <v>171</v>
      </c>
      <c r="B17" s="10" t="n">
        <f aca="false">B13+B15+B16</f>
        <v>9891.2</v>
      </c>
      <c r="C17" s="10" t="n">
        <f aca="false">C13+C15+C16</f>
        <v>10199.282</v>
      </c>
      <c r="D17" s="10" t="n">
        <f aca="false">D13+D15+D16</f>
        <v>12326.91156</v>
      </c>
      <c r="E17" s="10" t="n">
        <f aca="false">E13+E15+E16</f>
        <v>14572.2407651</v>
      </c>
      <c r="F17" s="10" t="n">
        <f aca="false">F13+F15+F16</f>
        <v>15166.647464585</v>
      </c>
      <c r="G17" s="10" t="n">
        <f aca="false">G13+G15+G16</f>
        <v>15408.4635522</v>
      </c>
    </row>
    <row r="18" customFormat="false" ht="15" hidden="false" customHeight="false" outlineLevel="0" collapsed="false">
      <c r="A18" s="5" t="s">
        <v>172</v>
      </c>
      <c r="B18" s="21" t="n">
        <f aca="false">-Inputs!B$71</f>
        <v>-4450</v>
      </c>
      <c r="C18" s="21" t="n">
        <f aca="false">-Inputs!C$71</f>
        <v>-4400</v>
      </c>
      <c r="D18" s="21" t="n">
        <f aca="false">-Inputs!D$71</f>
        <v>-4300</v>
      </c>
      <c r="E18" s="21" t="n">
        <f aca="false">-Inputs!E$71</f>
        <v>-4200</v>
      </c>
      <c r="F18" s="21" t="n">
        <f aca="false">-Inputs!F$71</f>
        <v>-4100</v>
      </c>
      <c r="G18" s="21" t="n">
        <f aca="false">-Inputs!G$71</f>
        <v>-4000</v>
      </c>
    </row>
    <row r="19" customFormat="false" ht="15" hidden="false" customHeight="false" outlineLevel="0" collapsed="false">
      <c r="A19" s="5" t="s">
        <v>173</v>
      </c>
      <c r="B19" s="10" t="n">
        <f aca="false">B17+B18</f>
        <v>5441.2</v>
      </c>
      <c r="C19" s="10" t="n">
        <f aca="false">C17+C18</f>
        <v>5799.282</v>
      </c>
      <c r="D19" s="10" t="n">
        <f aca="false">D17+D18</f>
        <v>8026.91156</v>
      </c>
      <c r="E19" s="10" t="n">
        <f aca="false">E17+E18</f>
        <v>10372.2407651</v>
      </c>
      <c r="F19" s="10" t="n">
        <f aca="false">F17+F18</f>
        <v>11066.647464585</v>
      </c>
      <c r="G19" s="10" t="n">
        <f aca="false">G17+G18</f>
        <v>11408.4635522</v>
      </c>
    </row>
    <row r="20" customFormat="false" ht="15" hidden="false" customHeight="false" outlineLevel="0" collapsed="false">
      <c r="A20" s="5" t="s">
        <v>174</v>
      </c>
      <c r="B20" s="10" t="n">
        <f aca="false">-MAX(0,B19)*Inputs!$B$85</f>
        <v>-1251.476</v>
      </c>
      <c r="C20" s="10" t="n">
        <f aca="false">-MAX(0,C19)*Inputs!$B$85</f>
        <v>-1333.83486</v>
      </c>
      <c r="D20" s="10" t="n">
        <f aca="false">-MAX(0,D19)*Inputs!$B$85</f>
        <v>-1846.1896588</v>
      </c>
      <c r="E20" s="10" t="n">
        <f aca="false">-MAX(0,E19)*Inputs!$B$85</f>
        <v>-2385.615375973</v>
      </c>
      <c r="F20" s="10" t="n">
        <f aca="false">-MAX(0,F19)*Inputs!$B$85</f>
        <v>-2545.32891685455</v>
      </c>
      <c r="G20" s="10" t="n">
        <f aca="false">-MAX(0,G19)*Inputs!$B$85</f>
        <v>-2623.946617006</v>
      </c>
    </row>
    <row r="21" customFormat="false" ht="15" hidden="false" customHeight="false" outlineLevel="0" collapsed="false">
      <c r="A21" s="5" t="s">
        <v>175</v>
      </c>
      <c r="B21" s="10" t="n">
        <f aca="false">-B8*Inputs!B$61</f>
        <v>-1402.8</v>
      </c>
      <c r="C21" s="10" t="n">
        <f aca="false">-C8*Inputs!C$61</f>
        <v>-1397.949</v>
      </c>
      <c r="D21" s="10" t="n">
        <f aca="false">-D8*Inputs!D$61</f>
        <v>-1401.25083</v>
      </c>
      <c r="E21" s="10" t="n">
        <f aca="false">-E8*Inputs!E$61</f>
        <v>-1404.8925513</v>
      </c>
      <c r="F21" s="10" t="n">
        <f aca="false">-F8*Inputs!F$61</f>
        <v>-1412.880961695</v>
      </c>
      <c r="G21" s="10" t="n">
        <f aca="false">-G8*Inputs!G$61</f>
        <v>-1418.61084122625</v>
      </c>
    </row>
    <row r="22" customFormat="false" ht="15" hidden="false" customHeight="false" outlineLevel="0" collapsed="false">
      <c r="A22" s="5" t="s">
        <v>176</v>
      </c>
      <c r="B22" s="10" t="n">
        <f aca="false">-B8*Inputs!B$66</f>
        <v>-801.6</v>
      </c>
      <c r="C22" s="10" t="n">
        <f aca="false">-C8*Inputs!C$66</f>
        <v>-665.69</v>
      </c>
      <c r="D22" s="10" t="n">
        <f aca="false">-D8*Inputs!D$66</f>
        <v>-600.53607</v>
      </c>
      <c r="E22" s="10" t="n">
        <f aca="false">-E8*Inputs!E$66</f>
        <v>-535.1971624</v>
      </c>
      <c r="F22" s="10" t="n">
        <f aca="false">-F8*Inputs!F$66</f>
        <v>-470.960320565</v>
      </c>
      <c r="G22" s="10" t="n">
        <f aca="false">-G8*Inputs!G$66</f>
        <v>-405.3173832075</v>
      </c>
    </row>
    <row r="23" customFormat="false" ht="15" hidden="false" customHeight="false" outlineLevel="0" collapsed="false">
      <c r="A23" s="22" t="s">
        <v>177</v>
      </c>
      <c r="B23" s="23" t="n">
        <f aca="false">B17+B20+B21+B22</f>
        <v>6435.324</v>
      </c>
      <c r="C23" s="23" t="n">
        <f aca="false">C17+C20+C21+C22</f>
        <v>6801.80814</v>
      </c>
      <c r="D23" s="23" t="n">
        <f aca="false">D17+D20+D21+D22</f>
        <v>8478.9350012</v>
      </c>
      <c r="E23" s="23" t="n">
        <f aca="false">E17+E20+E21+E22</f>
        <v>10246.535675427</v>
      </c>
      <c r="F23" s="23" t="n">
        <f aca="false">F17+F20+F21+F22</f>
        <v>10737.4772654705</v>
      </c>
      <c r="G23" s="23" t="n">
        <f aca="false">G17+G20+G21+G22</f>
        <v>10960.5887107603</v>
      </c>
    </row>
    <row r="24" customFormat="false" ht="15" hidden="false" customHeight="false" outlineLevel="0" collapsed="false">
      <c r="A24" s="5" t="s">
        <v>178</v>
      </c>
      <c r="B24" s="20" t="n">
        <f aca="false">B23/B13</f>
        <v>0.523571661025775</v>
      </c>
      <c r="C24" s="20" t="n">
        <f aca="false">C23/C13</f>
        <v>0.500159356942521</v>
      </c>
      <c r="D24" s="20" t="n">
        <f aca="false">D23/D13</f>
        <v>0.556838789520099</v>
      </c>
      <c r="E24" s="20" t="n">
        <f aca="false">E23/E13</f>
        <v>0.62969420274332</v>
      </c>
      <c r="F24" s="20" t="n">
        <f aca="false">F23/F13</f>
        <v>0.656058443777491</v>
      </c>
      <c r="G24" s="20" t="n">
        <f aca="false">G23/G13</f>
        <v>0.672079787018421</v>
      </c>
    </row>
    <row r="26" customFormat="false" ht="15" hidden="false" customHeight="false" outlineLevel="0" collapsed="false">
      <c r="A26" s="2"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s>
  <sheetData>
    <row r="1" customFormat="false" ht="17.35" hidden="false" customHeight="false" outlineLevel="0" collapsed="false">
      <c r="A1" s="1" t="s">
        <v>180</v>
      </c>
    </row>
    <row r="2" customFormat="false" ht="15" hidden="false" customHeight="false" outlineLevel="0" collapsed="false">
      <c r="A2" s="2" t="s">
        <v>1</v>
      </c>
    </row>
    <row r="4" customFormat="false" ht="15" hidden="false" customHeight="false" outlineLevel="0" collapsed="false">
      <c r="A4" s="7" t="s">
        <v>181</v>
      </c>
      <c r="B4" s="8" t="s">
        <v>97</v>
      </c>
      <c r="C4" s="8" t="s">
        <v>182</v>
      </c>
    </row>
    <row r="5" customFormat="false" ht="15" hidden="false" customHeight="false" outlineLevel="0" collapsed="false">
      <c r="A5" s="5" t="s">
        <v>183</v>
      </c>
      <c r="B5" s="13" t="n">
        <v>0.0495</v>
      </c>
      <c r="C5" s="11" t="s">
        <v>184</v>
      </c>
    </row>
    <row r="6" customFormat="false" ht="15" hidden="false" customHeight="false" outlineLevel="0" collapsed="false">
      <c r="A6" s="5" t="s">
        <v>185</v>
      </c>
      <c r="B6" s="13" t="n">
        <v>0.045</v>
      </c>
      <c r="C6" s="11" t="s">
        <v>186</v>
      </c>
    </row>
    <row r="7" customFormat="false" ht="15" hidden="false" customHeight="false" outlineLevel="0" collapsed="false">
      <c r="A7" s="5" t="s">
        <v>187</v>
      </c>
      <c r="B7" s="24" t="n">
        <v>0.9</v>
      </c>
      <c r="C7" s="11" t="s">
        <v>188</v>
      </c>
    </row>
    <row r="8" customFormat="false" ht="15" hidden="false" customHeight="false" outlineLevel="0" collapsed="false">
      <c r="A8" s="5" t="s">
        <v>189</v>
      </c>
      <c r="B8" s="21" t="n">
        <f aca="false">Inputs!$B$74*Inputs!$B$75</f>
        <v>39160.8</v>
      </c>
      <c r="C8" s="11" t="s">
        <v>190</v>
      </c>
    </row>
    <row r="9" customFormat="false" ht="15" hidden="false" customHeight="false" outlineLevel="0" collapsed="false">
      <c r="A9" s="5" t="s">
        <v>191</v>
      </c>
      <c r="B9" s="21" t="n">
        <f aca="false">Inputs!$B$78-Inputs!$B$79</f>
        <v>84300</v>
      </c>
      <c r="C9" s="11" t="s">
        <v>192</v>
      </c>
    </row>
    <row r="10" customFormat="false" ht="15" hidden="false" customHeight="false" outlineLevel="0" collapsed="false">
      <c r="A10" s="5" t="s">
        <v>193</v>
      </c>
      <c r="B10" s="25" t="n">
        <f aca="false">B9/B8</f>
        <v>2.15266286694858</v>
      </c>
      <c r="C10" s="11"/>
    </row>
    <row r="11" customFormat="false" ht="15" hidden="false" customHeight="false" outlineLevel="0" collapsed="false">
      <c r="A11" s="5" t="s">
        <v>194</v>
      </c>
      <c r="B11" s="26" t="n">
        <f aca="false">Inputs!$B$85</f>
        <v>0.23</v>
      </c>
      <c r="C11" s="11"/>
    </row>
    <row r="12" customFormat="false" ht="15" hidden="false" customHeight="false" outlineLevel="0" collapsed="false">
      <c r="A12" s="5" t="s">
        <v>195</v>
      </c>
      <c r="B12" s="25" t="n">
        <f aca="false">B7*(1+(1-B11)*B10)</f>
        <v>2.39179536679537</v>
      </c>
      <c r="C12" s="11" t="s">
        <v>196</v>
      </c>
    </row>
    <row r="13" customFormat="false" ht="15" hidden="false" customHeight="false" outlineLevel="0" collapsed="false">
      <c r="A13" s="5" t="s">
        <v>197</v>
      </c>
      <c r="B13" s="20" t="n">
        <f aca="false">B5+B12*B6</f>
        <v>0.157130791505792</v>
      </c>
      <c r="C13" s="11" t="s">
        <v>198</v>
      </c>
    </row>
    <row r="14" customFormat="false" ht="15" hidden="false" customHeight="false" outlineLevel="0" collapsed="false">
      <c r="A14" s="5" t="s">
        <v>199</v>
      </c>
      <c r="B14" s="13" t="n">
        <v>0.08</v>
      </c>
      <c r="C14" s="11" t="s">
        <v>200</v>
      </c>
    </row>
    <row r="15" customFormat="false" ht="15" hidden="false" customHeight="false" outlineLevel="0" collapsed="false">
      <c r="A15" s="5" t="s">
        <v>201</v>
      </c>
      <c r="B15" s="20" t="n">
        <f aca="false">B14*(1-B11)</f>
        <v>0.0616</v>
      </c>
      <c r="C15" s="11"/>
    </row>
    <row r="16" customFormat="false" ht="15" hidden="false" customHeight="false" outlineLevel="0" collapsed="false">
      <c r="A16" s="5" t="s">
        <v>202</v>
      </c>
      <c r="B16" s="20" t="n">
        <f aca="false">B8/(B8+B9)</f>
        <v>0.317192177598072</v>
      </c>
      <c r="C16" s="11" t="s">
        <v>203</v>
      </c>
    </row>
    <row r="17" customFormat="false" ht="15" hidden="false" customHeight="false" outlineLevel="0" collapsed="false">
      <c r="A17" s="5" t="s">
        <v>204</v>
      </c>
      <c r="B17" s="20" t="n">
        <f aca="false">B9/(B8+B9)</f>
        <v>0.682807822401929</v>
      </c>
      <c r="C17" s="11"/>
    </row>
    <row r="18" customFormat="false" ht="15" hidden="false" customHeight="false" outlineLevel="0" collapsed="false">
      <c r="A18" s="4" t="s">
        <v>205</v>
      </c>
      <c r="B18" s="27" t="n">
        <f aca="false">B16*B13+B17*B15</f>
        <v>0.0919016197853894</v>
      </c>
      <c r="C18" s="11"/>
    </row>
    <row r="20" customFormat="false" ht="45" hidden="false" customHeight="true" outlineLevel="0" collapsed="false">
      <c r="A20" s="28"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0"/>
  </cols>
  <sheetData>
    <row r="1" customFormat="false" ht="17.35" hidden="false" customHeight="false" outlineLevel="0" collapsed="false">
      <c r="A1" s="1" t="s">
        <v>207</v>
      </c>
    </row>
    <row r="2" customFormat="false" ht="15" hidden="false" customHeight="false" outlineLevel="0" collapsed="false">
      <c r="A2" s="2" t="s">
        <v>1</v>
      </c>
    </row>
    <row r="4" customFormat="false" ht="15" hidden="false" customHeight="false" outlineLevel="0" collapsed="false">
      <c r="A4" s="7" t="s">
        <v>160</v>
      </c>
      <c r="B4" s="8" t="s">
        <v>39</v>
      </c>
      <c r="C4" s="8" t="s">
        <v>40</v>
      </c>
      <c r="D4" s="8" t="s">
        <v>41</v>
      </c>
      <c r="E4" s="8" t="s">
        <v>42</v>
      </c>
      <c r="F4" s="8" t="s">
        <v>43</v>
      </c>
      <c r="G4" s="8" t="s">
        <v>44</v>
      </c>
      <c r="H4" s="8" t="s">
        <v>45</v>
      </c>
    </row>
    <row r="5" customFormat="false" ht="15" hidden="false" customHeight="false" outlineLevel="0" collapsed="false">
      <c r="A5" s="5" t="s">
        <v>177</v>
      </c>
      <c r="B5" s="21" t="n">
        <f aca="false">Forecast!B23</f>
        <v>6435.324</v>
      </c>
      <c r="C5" s="21" t="n">
        <f aca="false">Forecast!C23</f>
        <v>6801.80814</v>
      </c>
      <c r="D5" s="21" t="n">
        <f aca="false">Forecast!D23</f>
        <v>8478.9350012</v>
      </c>
      <c r="E5" s="21" t="n">
        <f aca="false">Forecast!E23</f>
        <v>10246.535675427</v>
      </c>
      <c r="F5" s="21" t="n">
        <f aca="false">Forecast!F23</f>
        <v>10737.4772654705</v>
      </c>
      <c r="G5" s="21" t="n">
        <f aca="false">Forecast!G23</f>
        <v>10960.5887107603</v>
      </c>
    </row>
    <row r="6" customFormat="false" ht="15" hidden="false" customHeight="false" outlineLevel="0" collapsed="false">
      <c r="A6" s="5" t="s">
        <v>208</v>
      </c>
      <c r="B6" s="26" t="n">
        <f aca="false">Inputs!$B$82</f>
        <v>0.19</v>
      </c>
      <c r="C6" s="13" t="n">
        <v>1</v>
      </c>
      <c r="D6" s="13" t="n">
        <v>1</v>
      </c>
      <c r="E6" s="13" t="n">
        <v>1</v>
      </c>
      <c r="F6" s="13" t="n">
        <v>1</v>
      </c>
      <c r="G6" s="13" t="n">
        <v>1</v>
      </c>
      <c r="H6" s="11" t="s">
        <v>209</v>
      </c>
    </row>
    <row r="7" customFormat="false" ht="15" hidden="false" customHeight="false" outlineLevel="0" collapsed="false">
      <c r="A7" s="5" t="s">
        <v>210</v>
      </c>
      <c r="B7" s="10" t="n">
        <f aca="false">B5*B6</f>
        <v>1222.71156</v>
      </c>
      <c r="C7" s="10" t="n">
        <f aca="false">C5*C6</f>
        <v>6801.80814</v>
      </c>
      <c r="D7" s="10" t="n">
        <f aca="false">D5*D6</f>
        <v>8478.9350012</v>
      </c>
      <c r="E7" s="10" t="n">
        <f aca="false">E5*E6</f>
        <v>10246.535675427</v>
      </c>
      <c r="F7" s="10" t="n">
        <f aca="false">F5*F6</f>
        <v>10737.4772654705</v>
      </c>
      <c r="G7" s="10" t="n">
        <f aca="false">G5*G6</f>
        <v>10960.5887107603</v>
      </c>
    </row>
    <row r="8" customFormat="false" ht="15" hidden="false" customHeight="false" outlineLevel="0" collapsed="false">
      <c r="A8" s="5" t="s">
        <v>211</v>
      </c>
      <c r="B8" s="25" t="n">
        <f aca="false">B6/2</f>
        <v>0.095</v>
      </c>
      <c r="C8" s="25" t="n">
        <f aca="false">B6+1-0.5</f>
        <v>0.69</v>
      </c>
      <c r="D8" s="25" t="n">
        <f aca="false">B6+2-0.5</f>
        <v>1.69</v>
      </c>
      <c r="E8" s="25" t="n">
        <f aca="false">B6+3-0.5</f>
        <v>2.69</v>
      </c>
      <c r="F8" s="25" t="n">
        <f aca="false">B6+4-0.5</f>
        <v>3.69</v>
      </c>
      <c r="G8" s="25" t="n">
        <f aca="false">B6+5-0.5</f>
        <v>4.69</v>
      </c>
    </row>
    <row r="9" customFormat="false" ht="15" hidden="false" customHeight="false" outlineLevel="0" collapsed="false">
      <c r="A9" s="5" t="s">
        <v>212</v>
      </c>
      <c r="B9" s="29" t="n">
        <f aca="false">1/(1+WACC!$B$18)^B8</f>
        <v>0.991682310756877</v>
      </c>
      <c r="C9" s="29" t="n">
        <f aca="false">1/(1+WACC!$B$18)^C8</f>
        <v>0.941138149096936</v>
      </c>
      <c r="D9" s="29" t="n">
        <f aca="false">1/(1+WACC!$B$18)^D8</f>
        <v>0.861925774303654</v>
      </c>
      <c r="E9" s="29" t="n">
        <f aca="false">1/(1+WACC!$B$18)^E8</f>
        <v>0.789380433809653</v>
      </c>
      <c r="F9" s="29" t="n">
        <f aca="false">1/(1+WACC!$B$18)^F8</f>
        <v>0.722940986171267</v>
      </c>
      <c r="G9" s="29" t="n">
        <f aca="false">1/(1+WACC!$B$18)^G8</f>
        <v>0.662093519298341</v>
      </c>
    </row>
    <row r="10" customFormat="false" ht="15" hidden="false" customHeight="false" outlineLevel="0" collapsed="false">
      <c r="A10" s="4" t="s">
        <v>213</v>
      </c>
      <c r="B10" s="12" t="n">
        <f aca="false">B7*B9</f>
        <v>1212.54142520995</v>
      </c>
      <c r="C10" s="12" t="n">
        <f aca="false">C7*C9</f>
        <v>6401.44112339207</v>
      </c>
      <c r="D10" s="12" t="n">
        <f aca="false">D7*D9</f>
        <v>7308.21261617966</v>
      </c>
      <c r="E10" s="12" t="n">
        <f aca="false">E7*E9</f>
        <v>8088.41477651466</v>
      </c>
      <c r="F10" s="12" t="n">
        <f aca="false">F7*F9</f>
        <v>7762.56240329077</v>
      </c>
      <c r="G10" s="12" t="n">
        <f aca="false">G7*G9</f>
        <v>7256.93475308891</v>
      </c>
    </row>
    <row r="12" customFormat="false" ht="15" hidden="false" customHeight="false" outlineLevel="0" collapsed="false">
      <c r="A12" s="4" t="s">
        <v>214</v>
      </c>
    </row>
    <row r="13" customFormat="false" ht="15" hidden="false" customHeight="false" outlineLevel="0" collapsed="false">
      <c r="A13" s="5" t="s">
        <v>215</v>
      </c>
      <c r="B13" s="26" t="n">
        <f aca="false">Inputs!$B$83</f>
        <v>0.015</v>
      </c>
    </row>
    <row r="14" customFormat="false" ht="15" hidden="false" customHeight="false" outlineLevel="0" collapsed="false">
      <c r="A14" s="5" t="s">
        <v>216</v>
      </c>
      <c r="B14" s="10" t="n">
        <f aca="false">G5*(1+B13)</f>
        <v>11124.9975414217</v>
      </c>
    </row>
    <row r="15" customFormat="false" ht="15" hidden="false" customHeight="false" outlineLevel="0" collapsed="false">
      <c r="A15" s="5" t="s">
        <v>217</v>
      </c>
      <c r="B15" s="10" t="n">
        <f aca="false">B14/(WACC!B18-B13)</f>
        <v>144665.321386836</v>
      </c>
    </row>
    <row r="16" customFormat="false" ht="15" hidden="false" customHeight="false" outlineLevel="0" collapsed="false">
      <c r="A16" s="5" t="s">
        <v>218</v>
      </c>
      <c r="B16" s="29" t="n">
        <f aca="false">1/(1+WACC!B18)^(B6+5)</f>
        <v>0.63361811015325</v>
      </c>
    </row>
    <row r="17" customFormat="false" ht="15" hidden="false" customHeight="false" outlineLevel="0" collapsed="false">
      <c r="A17" s="5" t="s">
        <v>219</v>
      </c>
      <c r="B17" s="10" t="n">
        <f aca="false">B15*B16</f>
        <v>91662.5675418398</v>
      </c>
    </row>
    <row r="18" customFormat="false" ht="15" hidden="false" customHeight="false" outlineLevel="0" collapsed="false">
      <c r="A18" s="5" t="s">
        <v>220</v>
      </c>
      <c r="B18" s="30" t="n">
        <f aca="false">B15/Forecast!G13</f>
        <v>8.87056717046292</v>
      </c>
    </row>
    <row r="20" customFormat="false" ht="15" hidden="false" customHeight="false" outlineLevel="0" collapsed="false">
      <c r="A20" s="4" t="s">
        <v>221</v>
      </c>
    </row>
    <row r="21" customFormat="false" ht="15" hidden="false" customHeight="false" outlineLevel="0" collapsed="false">
      <c r="A21" s="5" t="s">
        <v>222</v>
      </c>
      <c r="B21" s="31" t="n">
        <f aca="false">Inputs!$B$84</f>
        <v>7</v>
      </c>
    </row>
    <row r="22" customFormat="false" ht="15" hidden="false" customHeight="false" outlineLevel="0" collapsed="false">
      <c r="A22" s="5" t="s">
        <v>217</v>
      </c>
      <c r="B22" s="10" t="n">
        <f aca="false">B21*Forecast!G13</f>
        <v>114159.2448654</v>
      </c>
    </row>
    <row r="23" customFormat="false" ht="15" hidden="false" customHeight="false" outlineLevel="0" collapsed="false">
      <c r="A23" s="5" t="s">
        <v>219</v>
      </c>
      <c r="B23" s="10" t="n">
        <f aca="false">B22*B16</f>
        <v>72333.3649881369</v>
      </c>
    </row>
    <row r="24" customFormat="false" ht="15" hidden="false" customHeight="false" outlineLevel="0" collapsed="false">
      <c r="A24" s="5" t="s">
        <v>223</v>
      </c>
      <c r="B24" s="20" t="n">
        <f aca="false">(B22*WACC!B18-G5)/(B22+G5)</f>
        <v>-0.00374975877719267</v>
      </c>
    </row>
    <row r="26" customFormat="false" ht="15" hidden="false" customHeight="false" outlineLevel="0" collapsed="false">
      <c r="A26" s="7" t="s">
        <v>224</v>
      </c>
      <c r="B26" s="8" t="s">
        <v>225</v>
      </c>
      <c r="C26" s="8" t="s">
        <v>222</v>
      </c>
      <c r="D26" s="8"/>
      <c r="E26" s="8"/>
      <c r="F26" s="8"/>
      <c r="G26" s="8"/>
      <c r="H26" s="8" t="s">
        <v>45</v>
      </c>
    </row>
    <row r="27" customFormat="false" ht="15" hidden="false" customHeight="false" outlineLevel="0" collapsed="false">
      <c r="A27" s="5" t="s">
        <v>226</v>
      </c>
      <c r="B27" s="10" t="n">
        <f aca="false">SUM(B10:G10)</f>
        <v>38030.107097676</v>
      </c>
      <c r="C27" s="10" t="n">
        <f aca="false">B27</f>
        <v>38030.107097676</v>
      </c>
    </row>
    <row r="28" customFormat="false" ht="15" hidden="false" customHeight="false" outlineLevel="0" collapsed="false">
      <c r="A28" s="5" t="s">
        <v>219</v>
      </c>
      <c r="B28" s="10" t="n">
        <f aca="false">B17</f>
        <v>91662.5675418398</v>
      </c>
      <c r="C28" s="10" t="n">
        <f aca="false">B23</f>
        <v>72333.3649881369</v>
      </c>
    </row>
    <row r="29" customFormat="false" ht="15" hidden="false" customHeight="false" outlineLevel="0" collapsed="false">
      <c r="A29" s="22" t="s">
        <v>227</v>
      </c>
      <c r="B29" s="23" t="n">
        <f aca="false">B27+B28</f>
        <v>129692.674639516</v>
      </c>
      <c r="C29" s="23" t="n">
        <f aca="false">C27+C28</f>
        <v>110363.472085813</v>
      </c>
    </row>
    <row r="30" customFormat="false" ht="15" hidden="false" customHeight="false" outlineLevel="0" collapsed="false">
      <c r="A30" s="5" t="s">
        <v>228</v>
      </c>
      <c r="B30" s="20" t="n">
        <f aca="false">B28/B29</f>
        <v>0.706767500914129</v>
      </c>
      <c r="C30" s="20" t="n">
        <f aca="false">C28/C29</f>
        <v>0.655410378280725</v>
      </c>
    </row>
    <row r="31" customFormat="false" ht="15" hidden="false" customHeight="false" outlineLevel="0" collapsed="false">
      <c r="A31" s="5" t="s">
        <v>229</v>
      </c>
      <c r="B31" s="21" t="n">
        <f aca="false">-WACC!B9</f>
        <v>-84300</v>
      </c>
      <c r="C31" s="10" t="n">
        <f aca="false">B31</f>
        <v>-84300</v>
      </c>
    </row>
    <row r="32" customFormat="false" ht="15" hidden="false" customHeight="false" outlineLevel="0" collapsed="false">
      <c r="A32" s="5" t="s">
        <v>230</v>
      </c>
      <c r="B32" s="21" t="n">
        <f aca="false">-Inputs!$B$80</f>
        <v>-1039</v>
      </c>
      <c r="C32" s="10" t="n">
        <f aca="false">B32</f>
        <v>-1039</v>
      </c>
    </row>
    <row r="33" customFormat="false" ht="15" hidden="false" customHeight="false" outlineLevel="0" collapsed="false">
      <c r="A33" s="22" t="s">
        <v>231</v>
      </c>
      <c r="B33" s="23" t="n">
        <f aca="false">B29+B31+B32</f>
        <v>44353.6746395158</v>
      </c>
      <c r="C33" s="23" t="n">
        <f aca="false">C29+C31+C32</f>
        <v>25024.4720858129</v>
      </c>
    </row>
    <row r="34" customFormat="false" ht="15" hidden="false" customHeight="false" outlineLevel="0" collapsed="false">
      <c r="A34" s="5" t="s">
        <v>232</v>
      </c>
      <c r="B34" s="21" t="n">
        <f aca="false">Inputs!$B$75</f>
        <v>5040</v>
      </c>
      <c r="C34" s="10" t="n">
        <f aca="false">B34</f>
        <v>5040</v>
      </c>
    </row>
    <row r="35" customFormat="false" ht="15" hidden="false" customHeight="false" outlineLevel="0" collapsed="false">
      <c r="A35" s="5" t="s">
        <v>233</v>
      </c>
      <c r="B35" s="32" t="n">
        <f aca="false">B33/B34</f>
        <v>8.8003322697452</v>
      </c>
      <c r="C35" s="32" t="n">
        <f aca="false">C33/C34</f>
        <v>4.96517303289938</v>
      </c>
    </row>
    <row r="36" customFormat="false" ht="15" hidden="false" customHeight="false" outlineLevel="0" collapsed="false">
      <c r="A36" s="5" t="s">
        <v>234</v>
      </c>
      <c r="B36" s="33" t="n">
        <f aca="false">IF(B35&gt;Inputs!$B$77,Inputs!$B$76*(1-Inputs!$B$77/B35),0)</f>
        <v>0</v>
      </c>
      <c r="C36" s="33" t="n">
        <f aca="false">IF(C35&gt;Inputs!$B$77,Inputs!$B$76*(1-Inputs!$B$77/C35),0)</f>
        <v>0</v>
      </c>
    </row>
    <row r="37" customFormat="false" ht="15" hidden="false" customHeight="false" outlineLevel="0" collapsed="false">
      <c r="A37" s="22" t="s">
        <v>235</v>
      </c>
      <c r="B37" s="34" t="n">
        <f aca="false">B33/(B34+B36)</f>
        <v>8.8003322697452</v>
      </c>
      <c r="C37" s="34" t="n">
        <f aca="false">C33/(C34+C36)</f>
        <v>4.96517303289938</v>
      </c>
      <c r="H37" s="11" t="s">
        <v>236</v>
      </c>
    </row>
    <row r="38" customFormat="false" ht="15" hidden="false" customHeight="false" outlineLevel="0" collapsed="false">
      <c r="A38" s="5" t="s">
        <v>237</v>
      </c>
      <c r="B38" s="35" t="n">
        <f aca="false">Inputs!$B$74</f>
        <v>7.77</v>
      </c>
      <c r="C38" s="32" t="n">
        <f aca="false">B38</f>
        <v>7.77</v>
      </c>
    </row>
    <row r="39" customFormat="false" ht="15" hidden="false" customHeight="false" outlineLevel="0" collapsed="false">
      <c r="A39" s="5" t="s">
        <v>238</v>
      </c>
      <c r="B39" s="20" t="n">
        <f aca="false">B37/B38-1</f>
        <v>0.132603895720103</v>
      </c>
      <c r="C39" s="20" t="n">
        <f aca="false">C37/C38-1</f>
        <v>-0.360981591647442</v>
      </c>
    </row>
    <row r="40" customFormat="false" ht="15" hidden="false" customHeight="false" outlineLevel="0" collapsed="false">
      <c r="A40" s="5" t="s">
        <v>239</v>
      </c>
      <c r="B40" s="10" t="n">
        <f aca="false">WACC!B8+WACC!B9+Inputs!$B$80</f>
        <v>124499.8</v>
      </c>
    </row>
    <row r="41" customFormat="false" ht="15" hidden="false" customHeight="false" outlineLevel="0" collapsed="false">
      <c r="A41" s="5" t="s">
        <v>240</v>
      </c>
      <c r="B41" s="30" t="n">
        <f aca="false">B40/Forecast!B13</f>
        <v>10.1291818536839</v>
      </c>
    </row>
    <row r="42" customFormat="false" ht="15" hidden="false" customHeight="false" outlineLevel="0" collapsed="false">
      <c r="A42" s="5" t="s">
        <v>241</v>
      </c>
      <c r="B42" s="30" t="n">
        <f aca="false">B29/Forecast!B13</f>
        <v>10.551669050989</v>
      </c>
      <c r="C42" s="30" t="n">
        <f aca="false">C29/Forecast!B13</f>
        <v>8.97906405280305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1"/>
  </cols>
  <sheetData>
    <row r="1" customFormat="false" ht="17.35" hidden="false" customHeight="false" outlineLevel="0" collapsed="false">
      <c r="A1" s="1" t="s">
        <v>242</v>
      </c>
    </row>
    <row r="2" customFormat="false" ht="15" hidden="false" customHeight="false" outlineLevel="0" collapsed="false">
      <c r="A2" s="2" t="s">
        <v>1</v>
      </c>
    </row>
    <row r="4" customFormat="false" ht="15" hidden="false" customHeight="false" outlineLevel="0" collapsed="false">
      <c r="A4" s="4" t="s">
        <v>243</v>
      </c>
    </row>
    <row r="5" customFormat="false" ht="15" hidden="false" customHeight="false" outlineLevel="0" collapsed="false">
      <c r="A5" s="4" t="s">
        <v>244</v>
      </c>
      <c r="B5" s="13" t="n">
        <v>0.005</v>
      </c>
      <c r="C5" s="13" t="n">
        <v>0.01</v>
      </c>
      <c r="D5" s="13" t="n">
        <v>0.015</v>
      </c>
      <c r="E5" s="13" t="n">
        <v>0.02</v>
      </c>
      <c r="F5" s="13" t="n">
        <v>0.025</v>
      </c>
    </row>
    <row r="6" customFormat="false" ht="15" hidden="false" customHeight="false" outlineLevel="0" collapsed="false">
      <c r="A6" s="13" t="n">
        <v>0.08</v>
      </c>
      <c r="B6" s="32" t="n">
        <f aca="false">((SUMPRODUCT(DCF!$B$7:$G$7/(1+$A6)^DCF!$B$8:$G$8)+DCF!$G$5*(1+B$5)/($A6-B$5)/(1+$A6)^(DCF!$B$6+5))+DCF!$B$31+DCF!$B$32)/(DCF!$B$34+IF((((SUMPRODUCT(DCF!$B$7:$G$7/(1+$A6)^DCF!$B$8:$G$8)+DCF!$G$5*(1+B$5)/($A6-B$5)/(1+$A6)^(DCF!$B$6+5))+DCF!$B$31+DCF!$B$32)/DCF!$B$34)&gt;Inputs!$B$77,Inputs!$B$76*(1-Inputs!$B$77/(((SUMPRODUCT(DCF!$B$7:$G$7/(1+$A6)^DCF!$B$8:$G$8)+DCF!$G$5*(1+B$5)/($A6-B$5)/(1+$A6)^(DCF!$B$6+5))+DCF!$B$31+DCF!$B$32)/DCF!$B$34)),0))</f>
        <v>10.3829859471804</v>
      </c>
      <c r="C6" s="32" t="n">
        <f aca="false">((SUMPRODUCT(DCF!$B$7:$G$7/(1+$A6)^DCF!$B$8:$G$8)+DCF!$G$5*(1+C$5)/($A6-C$5)/(1+$A6)^(DCF!$B$6+5))+DCF!$B$31+DCF!$B$32)/(DCF!$B$34+IF((((SUMPRODUCT(DCF!$B$7:$G$7/(1+$A6)^DCF!$B$8:$G$8)+DCF!$G$5*(1+C$5)/($A6-C$5)/(1+$A6)^(DCF!$B$6+5))+DCF!$B$31+DCF!$B$32)/DCF!$B$34)&gt;Inputs!$B$77,Inputs!$B$76*(1-Inputs!$B$77/(((SUMPRODUCT(DCF!$B$7:$G$7/(1+$A6)^DCF!$B$8:$G$8)+DCF!$G$5*(1+C$5)/($A6-C$5)/(1+$A6)^(DCF!$B$6+5))+DCF!$B$31+DCF!$B$32)/DCF!$B$34)),0))</f>
        <v>11.8832527876744</v>
      </c>
      <c r="D6" s="32" t="n">
        <f aca="false">((SUMPRODUCT(DCF!$B$7:$G$7/(1+$A6)^DCF!$B$8:$G$8)+DCF!$G$5*(1+D$5)/($A6-D$5)/(1+$A6)^(DCF!$B$6+5))+DCF!$B$31+DCF!$B$32)/(DCF!$B$34+IF((((SUMPRODUCT(DCF!$B$7:$G$7/(1+$A6)^DCF!$B$8:$G$8)+DCF!$G$5*(1+D$5)/($A6-D$5)/(1+$A6)^(DCF!$B$6+5))+DCF!$B$31+DCF!$B$32)/DCF!$B$34)&gt;Inputs!$B$77,Inputs!$B$76*(1-Inputs!$B$77/(((SUMPRODUCT(DCF!$B$7:$G$7/(1+$A6)^DCF!$B$8:$G$8)+DCF!$G$5*(1+D$5)/($A6-D$5)/(1+$A6)^(DCF!$B$6+5))+DCF!$B$31+DCF!$B$32)/DCF!$B$34)),0))</f>
        <v>13.4651986876001</v>
      </c>
      <c r="E6" s="32" t="n">
        <f aca="false">((SUMPRODUCT(DCF!$B$7:$G$7/(1+$A6)^DCF!$B$8:$G$8)+DCF!$G$5*(1+E$5)/($A6-E$5)/(1+$A6)^(DCF!$B$6+5))+DCF!$B$31+DCF!$B$32)/(DCF!$B$34+IF((((SUMPRODUCT(DCF!$B$7:$G$7/(1+$A6)^DCF!$B$8:$G$8)+DCF!$G$5*(1+E$5)/($A6-E$5)/(1+$A6)^(DCF!$B$6+5))+DCF!$B$31+DCF!$B$32)/DCF!$B$34)&gt;Inputs!$B$77,Inputs!$B$76*(1-Inputs!$B$77/(((SUMPRODUCT(DCF!$B$7:$G$7/(1+$A6)^DCF!$B$8:$G$8)+DCF!$G$5*(1+E$5)/($A6-E$5)/(1+$A6)^(DCF!$B$6+5))+DCF!$B$31+DCF!$B$32)/DCF!$B$34)),0))</f>
        <v>15.3017139905952</v>
      </c>
      <c r="F6" s="32" t="n">
        <f aca="false">((SUMPRODUCT(DCF!$B$7:$G$7/(1+$A6)^DCF!$B$8:$G$8)+DCF!$G$5*(1+F$5)/($A6-F$5)/(1+$A6)^(DCF!$B$6+5))+DCF!$B$31+DCF!$B$32)/(DCF!$B$34+IF((((SUMPRODUCT(DCF!$B$7:$G$7/(1+$A6)^DCF!$B$8:$G$8)+DCF!$G$5*(1+F$5)/($A6-F$5)/(1+$A6)^(DCF!$B$6+5))+DCF!$B$31+DCF!$B$32)/DCF!$B$34)&gt;Inputs!$B$77,Inputs!$B$76*(1-Inputs!$B$77/(((SUMPRODUCT(DCF!$B$7:$G$7/(1+$A6)^DCF!$B$8:$G$8)+DCF!$G$5*(1+F$5)/($A6-F$5)/(1+$A6)^(DCF!$B$6+5))+DCF!$B$31+DCF!$B$32)/DCF!$B$34)),0))</f>
        <v>17.4753747575931</v>
      </c>
    </row>
    <row r="7" customFormat="false" ht="15" hidden="false" customHeight="false" outlineLevel="0" collapsed="false">
      <c r="A7" s="13" t="n">
        <v>0.085</v>
      </c>
      <c r="B7" s="32" t="n">
        <f aca="false">((SUMPRODUCT(DCF!$B$7:$G$7/(1+$A7)^DCF!$B$8:$G$8)+DCF!$G$5*(1+B$5)/($A7-B$5)/(1+$A7)^(DCF!$B$6+5))+DCF!$B$31+DCF!$B$32)/(DCF!$B$34+IF((((SUMPRODUCT(DCF!$B$7:$G$7/(1+$A7)^DCF!$B$8:$G$8)+DCF!$G$5*(1+B$5)/($A7-B$5)/(1+$A7)^(DCF!$B$6+5))+DCF!$B$31+DCF!$B$32)/DCF!$B$34)&gt;Inputs!$B$77,Inputs!$B$76*(1-Inputs!$B$77/(((SUMPRODUCT(DCF!$B$7:$G$7/(1+$A7)^DCF!$B$8:$G$8)+DCF!$G$5*(1+B$5)/($A7-B$5)/(1+$A7)^(DCF!$B$6+5))+DCF!$B$31+DCF!$B$32)/DCF!$B$34)),0))</f>
        <v>8.63171930199857</v>
      </c>
      <c r="C7" s="32" t="n">
        <f aca="false">((SUMPRODUCT(DCF!$B$7:$G$7/(1+$A7)^DCF!$B$8:$G$8)+DCF!$G$5*(1+C$5)/($A7-C$5)/(1+$A7)^(DCF!$B$6+5))+DCF!$B$31+DCF!$B$32)/(DCF!$B$34+IF((((SUMPRODUCT(DCF!$B$7:$G$7/(1+$A7)^DCF!$B$8:$G$8)+DCF!$G$5*(1+C$5)/($A7-C$5)/(1+$A7)^(DCF!$B$6+5))+DCF!$B$31+DCF!$B$32)/DCF!$B$34)&gt;Inputs!$B$77,Inputs!$B$76*(1-Inputs!$B$77/(((SUMPRODUCT(DCF!$B$7:$G$7/(1+$A7)^DCF!$B$8:$G$8)+DCF!$G$5*(1+C$5)/($A7-C$5)/(1+$A7)^(DCF!$B$6+5))+DCF!$B$31+DCF!$B$32)/DCF!$B$34)),0))</f>
        <v>9.91929121942012</v>
      </c>
      <c r="D7" s="32" t="n">
        <f aca="false">((SUMPRODUCT(DCF!$B$7:$G$7/(1+$A7)^DCF!$B$8:$G$8)+DCF!$G$5*(1+D$5)/($A7-D$5)/(1+$A7)^(DCF!$B$6+5))+DCF!$B$31+DCF!$B$32)/(DCF!$B$34+IF((((SUMPRODUCT(DCF!$B$7:$G$7/(1+$A7)^DCF!$B$8:$G$8)+DCF!$G$5*(1+D$5)/($A7-D$5)/(1+$A7)^(DCF!$B$6+5))+DCF!$B$31+DCF!$B$32)/DCF!$B$34)&gt;Inputs!$B$77,Inputs!$B$76*(1-Inputs!$B$77/(((SUMPRODUCT(DCF!$B$7:$G$7/(1+$A7)^DCF!$B$8:$G$8)+DCF!$G$5*(1+D$5)/($A7-D$5)/(1+$A7)^(DCF!$B$6+5))+DCF!$B$31+DCF!$B$32)/DCF!$B$34)),0))</f>
        <v>11.3908019821876</v>
      </c>
      <c r="E7" s="32" t="n">
        <f aca="false">((SUMPRODUCT(DCF!$B$7:$G$7/(1+$A7)^DCF!$B$8:$G$8)+DCF!$G$5*(1+E$5)/($A7-E$5)/(1+$A7)^(DCF!$B$6+5))+DCF!$B$31+DCF!$B$32)/(DCF!$B$34+IF((((SUMPRODUCT(DCF!$B$7:$G$7/(1+$A7)^DCF!$B$8:$G$8)+DCF!$G$5*(1+E$5)/($A7-E$5)/(1+$A7)^(DCF!$B$6+5))+DCF!$B$31+DCF!$B$32)/DCF!$B$34)&gt;Inputs!$B$77,Inputs!$B$76*(1-Inputs!$B$77/(((SUMPRODUCT(DCF!$B$7:$G$7/(1+$A7)^DCF!$B$8:$G$8)+DCF!$G$5*(1+E$5)/($A7-E$5)/(1+$A7)^(DCF!$B$6+5))+DCF!$B$31+DCF!$B$32)/DCF!$B$34)),0))</f>
        <v>12.9877954346693</v>
      </c>
      <c r="F7" s="32" t="n">
        <f aca="false">((SUMPRODUCT(DCF!$B$7:$G$7/(1+$A7)^DCF!$B$8:$G$8)+DCF!$G$5*(1+F$5)/($A7-F$5)/(1+$A7)^(DCF!$B$6+5))+DCF!$B$31+DCF!$B$32)/(DCF!$B$34+IF((((SUMPRODUCT(DCF!$B$7:$G$7/(1+$A7)^DCF!$B$8:$G$8)+DCF!$G$5*(1+F$5)/($A7-F$5)/(1+$A7)^(DCF!$B$6+5))+DCF!$B$31+DCF!$B$32)/DCF!$B$34)&gt;Inputs!$B$77,Inputs!$B$76*(1-Inputs!$B$77/(((SUMPRODUCT(DCF!$B$7:$G$7/(1+$A7)^DCF!$B$8:$G$8)+DCF!$G$5*(1+F$5)/($A7-F$5)/(1+$A7)^(DCF!$B$6+5))+DCF!$B$31+DCF!$B$32)/DCF!$B$34)),0))</f>
        <v>14.788224617165</v>
      </c>
    </row>
    <row r="8" customFormat="false" ht="15" hidden="false" customHeight="false" outlineLevel="0" collapsed="false">
      <c r="A8" s="13" t="n">
        <v>0.09</v>
      </c>
      <c r="B8" s="32" t="n">
        <f aca="false">((SUMPRODUCT(DCF!$B$7:$G$7/(1+$A8)^DCF!$B$8:$G$8)+DCF!$G$5*(1+B$5)/($A8-B$5)/(1+$A8)^(DCF!$B$6+5))+DCF!$B$31+DCF!$B$32)/(DCF!$B$34+IF((((SUMPRODUCT(DCF!$B$7:$G$7/(1+$A8)^DCF!$B$8:$G$8)+DCF!$G$5*(1+B$5)/($A8-B$5)/(1+$A8)^(DCF!$B$6+5))+DCF!$B$31+DCF!$B$32)/DCF!$B$34)&gt;Inputs!$B$77,Inputs!$B$76*(1-Inputs!$B$77/(((SUMPRODUCT(DCF!$B$7:$G$7/(1+$A8)^DCF!$B$8:$G$8)+DCF!$G$5*(1+B$5)/($A8-B$5)/(1+$A8)^(DCF!$B$6+5))+DCF!$B$31+DCF!$B$32)/DCF!$B$34)),0))</f>
        <v>7.08865614052175</v>
      </c>
      <c r="C8" s="32" t="n">
        <f aca="false">((SUMPRODUCT(DCF!$B$7:$G$7/(1+$A8)^DCF!$B$8:$G$8)+DCF!$G$5*(1+C$5)/($A8-C$5)/(1+$A8)^(DCF!$B$6+5))+DCF!$B$31+DCF!$B$32)/(DCF!$B$34+IF((((SUMPRODUCT(DCF!$B$7:$G$7/(1+$A8)^DCF!$B$8:$G$8)+DCF!$G$5*(1+C$5)/($A8-C$5)/(1+$A8)^(DCF!$B$6+5))+DCF!$B$31+DCF!$B$32)/DCF!$B$34)&gt;Inputs!$B$77,Inputs!$B$76*(1-Inputs!$B$77/(((SUMPRODUCT(DCF!$B$7:$G$7/(1+$A8)^DCF!$B$8:$G$8)+DCF!$G$5*(1+C$5)/($A8-C$5)/(1+$A8)^(DCF!$B$6+5))+DCF!$B$31+DCF!$B$32)/DCF!$B$34)),0))</f>
        <v>8.20307232395385</v>
      </c>
      <c r="D8" s="32" t="n">
        <f aca="false">((SUMPRODUCT(DCF!$B$7:$G$7/(1+$A8)^DCF!$B$8:$G$8)+DCF!$G$5*(1+D$5)/($A8-D$5)/(1+$A8)^(DCF!$B$6+5))+DCF!$B$31+DCF!$B$32)/(DCF!$B$34+IF((((SUMPRODUCT(DCF!$B$7:$G$7/(1+$A8)^DCF!$B$8:$G$8)+DCF!$G$5*(1+D$5)/($A8-D$5)/(1+$A8)^(DCF!$B$6+5))+DCF!$B$31+DCF!$B$32)/DCF!$B$34)&gt;Inputs!$B$77,Inputs!$B$76*(1-Inputs!$B$77/(((SUMPRODUCT(DCF!$B$7:$G$7/(1+$A8)^DCF!$B$8:$G$8)+DCF!$G$5*(1+D$5)/($A8-D$5)/(1+$A8)^(DCF!$B$6+5))+DCF!$B$31+DCF!$B$32)/DCF!$B$34)),0))</f>
        <v>9.46607733184356</v>
      </c>
      <c r="E8" s="32" t="n">
        <f aca="false">((SUMPRODUCT(DCF!$B$7:$G$7/(1+$A8)^DCF!$B$8:$G$8)+DCF!$G$5*(1+E$5)/($A8-E$5)/(1+$A8)^(DCF!$B$6+5))+DCF!$B$31+DCF!$B$32)/(DCF!$B$34+IF((((SUMPRODUCT(DCF!$B$7:$G$7/(1+$A8)^DCF!$B$8:$G$8)+DCF!$G$5*(1+E$5)/($A8-E$5)/(1+$A8)^(DCF!$B$6+5))+DCF!$B$31+DCF!$B$32)/DCF!$B$34)&gt;Inputs!$B$77,Inputs!$B$76*(1-Inputs!$B$77/(((SUMPRODUCT(DCF!$B$7:$G$7/(1+$A8)^DCF!$B$8:$G$8)+DCF!$G$5*(1+E$5)/($A8-E$5)/(1+$A8)^(DCF!$B$6+5))+DCF!$B$31+DCF!$B$32)/DCF!$B$34)),0))</f>
        <v>10.9095116265747</v>
      </c>
      <c r="F8" s="32" t="n">
        <f aca="false">((SUMPRODUCT(DCF!$B$7:$G$7/(1+$A8)^DCF!$B$8:$G$8)+DCF!$G$5*(1+F$5)/($A8-F$5)/(1+$A8)^(DCF!$B$6+5))+DCF!$B$31+DCF!$B$32)/(DCF!$B$34+IF((((SUMPRODUCT(DCF!$B$7:$G$7/(1+$A8)^DCF!$B$8:$G$8)+DCF!$G$5*(1+F$5)/($A8-F$5)/(1+$A8)^(DCF!$B$6+5))+DCF!$B$31+DCF!$B$32)/DCF!$B$34)&gt;Inputs!$B$77,Inputs!$B$76*(1-Inputs!$B$77/(((SUMPRODUCT(DCF!$B$7:$G$7/(1+$A8)^DCF!$B$8:$G$8)+DCF!$G$5*(1+F$5)/($A8-F$5)/(1+$A8)^(DCF!$B$6+5))+DCF!$B$31+DCF!$B$32)/DCF!$B$34)),0))</f>
        <v>12.5215333591153</v>
      </c>
    </row>
    <row r="9" customFormat="false" ht="15" hidden="false" customHeight="false" outlineLevel="0" collapsed="false">
      <c r="A9" s="13" t="n">
        <v>0.095</v>
      </c>
      <c r="B9" s="32" t="n">
        <f aca="false">((SUMPRODUCT(DCF!$B$7:$G$7/(1+$A9)^DCF!$B$8:$G$8)+DCF!$G$5*(1+B$5)/($A9-B$5)/(1+$A9)^(DCF!$B$6+5))+DCF!$B$31+DCF!$B$32)/(DCF!$B$34+IF((((SUMPRODUCT(DCF!$B$7:$G$7/(1+$A9)^DCF!$B$8:$G$8)+DCF!$G$5*(1+B$5)/($A9-B$5)/(1+$A9)^(DCF!$B$6+5))+DCF!$B$31+DCF!$B$32)/DCF!$B$34)&gt;Inputs!$B$77,Inputs!$B$76*(1-Inputs!$B$77/(((SUMPRODUCT(DCF!$B$7:$G$7/(1+$A9)^DCF!$B$8:$G$8)+DCF!$G$5*(1+B$5)/($A9-B$5)/(1+$A9)^(DCF!$B$6+5))+DCF!$B$31+DCF!$B$32)/DCF!$B$34)),0))</f>
        <v>5.71901550750988</v>
      </c>
      <c r="C9" s="32" t="n">
        <f aca="false">((SUMPRODUCT(DCF!$B$7:$G$7/(1+$A9)^DCF!$B$8:$G$8)+DCF!$G$5*(1+C$5)/($A9-C$5)/(1+$A9)^(DCF!$B$6+5))+DCF!$B$31+DCF!$B$32)/(DCF!$B$34+IF((((SUMPRODUCT(DCF!$B$7:$G$7/(1+$A9)^DCF!$B$8:$G$8)+DCF!$G$5*(1+C$5)/($A9-C$5)/(1+$A9)^(DCF!$B$6+5))+DCF!$B$31+DCF!$B$32)/DCF!$B$34)&gt;Inputs!$B$77,Inputs!$B$76*(1-Inputs!$B$77/(((SUMPRODUCT(DCF!$B$7:$G$7/(1+$A9)^DCF!$B$8:$G$8)+DCF!$G$5*(1+C$5)/($A9-C$5)/(1+$A9)^(DCF!$B$6+5))+DCF!$B$31+DCF!$B$32)/DCF!$B$34)),0))</f>
        <v>6.69079281817919</v>
      </c>
      <c r="D9" s="32" t="n">
        <f aca="false">((SUMPRODUCT(DCF!$B$7:$G$7/(1+$A9)^DCF!$B$8:$G$8)+DCF!$G$5*(1+D$5)/($A9-D$5)/(1+$A9)^(DCF!$B$6+5))+DCF!$B$31+DCF!$B$32)/(DCF!$B$34+IF((((SUMPRODUCT(DCF!$B$7:$G$7/(1+$A9)^DCF!$B$8:$G$8)+DCF!$G$5*(1+D$5)/($A9-D$5)/(1+$A9)^(DCF!$B$6+5))+DCF!$B$31+DCF!$B$32)/DCF!$B$34)&gt;Inputs!$B$77,Inputs!$B$76*(1-Inputs!$B$77/(((SUMPRODUCT(DCF!$B$7:$G$7/(1+$A9)^DCF!$B$8:$G$8)+DCF!$G$5*(1+D$5)/($A9-D$5)/(1+$A9)^(DCF!$B$6+5))+DCF!$B$31+DCF!$B$32)/DCF!$B$34)),0))</f>
        <v>7.78404229268217</v>
      </c>
      <c r="E9" s="32" t="n">
        <f aca="false">((SUMPRODUCT(DCF!$B$7:$G$7/(1+$A9)^DCF!$B$8:$G$8)+DCF!$G$5*(1+E$5)/($A9-E$5)/(1+$A9)^(DCF!$B$6+5))+DCF!$B$31+DCF!$B$32)/(DCF!$B$34+IF((((SUMPRODUCT(DCF!$B$7:$G$7/(1+$A9)^DCF!$B$8:$G$8)+DCF!$G$5*(1+E$5)/($A9-E$5)/(1+$A9)^(DCF!$B$6+5))+DCF!$B$31+DCF!$B$32)/DCF!$B$34)&gt;Inputs!$B$77,Inputs!$B$76*(1-Inputs!$B$77/(((SUMPRODUCT(DCF!$B$7:$G$7/(1+$A9)^DCF!$B$8:$G$8)+DCF!$G$5*(1+E$5)/($A9-E$5)/(1+$A9)^(DCF!$B$6+5))+DCF!$B$31+DCF!$B$32)/DCF!$B$34)),0))</f>
        <v>9.02305836378555</v>
      </c>
      <c r="F9" s="32" t="n">
        <f aca="false">((SUMPRODUCT(DCF!$B$7:$G$7/(1+$A9)^DCF!$B$8:$G$8)+DCF!$G$5*(1+F$5)/($A9-F$5)/(1+$A9)^(DCF!$B$6+5))+DCF!$B$31+DCF!$B$32)/(DCF!$B$34+IF((((SUMPRODUCT(DCF!$B$7:$G$7/(1+$A9)^DCF!$B$8:$G$8)+DCF!$G$5*(1+F$5)/($A9-F$5)/(1+$A9)^(DCF!$B$6+5))+DCF!$B$31+DCF!$B$32)/DCF!$B$34)&gt;Inputs!$B$77,Inputs!$B$76*(1-Inputs!$B$77/(((SUMPRODUCT(DCF!$B$7:$G$7/(1+$A9)^DCF!$B$8:$G$8)+DCF!$G$5*(1+F$5)/($A9-F$5)/(1+$A9)^(DCF!$B$6+5))+DCF!$B$31+DCF!$B$32)/DCF!$B$34)),0))</f>
        <v>10.4390767307608</v>
      </c>
    </row>
    <row r="10" customFormat="false" ht="15" hidden="false" customHeight="false" outlineLevel="0" collapsed="false">
      <c r="A10" s="13" t="n">
        <v>0.1</v>
      </c>
      <c r="B10" s="32" t="n">
        <f aca="false">((SUMPRODUCT(DCF!$B$7:$G$7/(1+$A10)^DCF!$B$8:$G$8)+DCF!$G$5*(1+B$5)/($A10-B$5)/(1+$A10)^(DCF!$B$6+5))+DCF!$B$31+DCF!$B$32)/(DCF!$B$34+IF((((SUMPRODUCT(DCF!$B$7:$G$7/(1+$A10)^DCF!$B$8:$G$8)+DCF!$G$5*(1+B$5)/($A10-B$5)/(1+$A10)^(DCF!$B$6+5))+DCF!$B$31+DCF!$B$32)/DCF!$B$34)&gt;Inputs!$B$77,Inputs!$B$76*(1-Inputs!$B$77/(((SUMPRODUCT(DCF!$B$7:$G$7/(1+$A10)^DCF!$B$8:$G$8)+DCF!$G$5*(1+B$5)/($A10-B$5)/(1+$A10)^(DCF!$B$6+5))+DCF!$B$31+DCF!$B$32)/DCF!$B$34)),0))</f>
        <v>4.49534201949905</v>
      </c>
      <c r="C10" s="32" t="n">
        <f aca="false">((SUMPRODUCT(DCF!$B$7:$G$7/(1+$A10)^DCF!$B$8:$G$8)+DCF!$G$5*(1+C$5)/($A10-C$5)/(1+$A10)^(DCF!$B$6+5))+DCF!$B$31+DCF!$B$32)/(DCF!$B$34+IF((((SUMPRODUCT(DCF!$B$7:$G$7/(1+$A10)^DCF!$B$8:$G$8)+DCF!$G$5*(1+C$5)/($A10-C$5)/(1+$A10)^(DCF!$B$6+5))+DCF!$B$31+DCF!$B$32)/DCF!$B$34)&gt;Inputs!$B$77,Inputs!$B$76*(1-Inputs!$B$77/(((SUMPRODUCT(DCF!$B$7:$G$7/(1+$A10)^DCF!$B$8:$G$8)+DCF!$G$5*(1+C$5)/($A10-C$5)/(1+$A10)^(DCF!$B$6+5))+DCF!$B$31+DCF!$B$32)/DCF!$B$34)),0))</f>
        <v>5.34838690560415</v>
      </c>
      <c r="D10" s="32" t="n">
        <f aca="false">((SUMPRODUCT(DCF!$B$7:$G$7/(1+$A10)^DCF!$B$8:$G$8)+DCF!$G$5*(1+D$5)/($A10-D$5)/(1+$A10)^(DCF!$B$6+5))+DCF!$B$31+DCF!$B$32)/(DCF!$B$34+IF((((SUMPRODUCT(DCF!$B$7:$G$7/(1+$A10)^DCF!$B$8:$G$8)+DCF!$G$5*(1+D$5)/($A10-D$5)/(1+$A10)^(DCF!$B$6+5))+DCF!$B$31+DCF!$B$32)/DCF!$B$34)&gt;Inputs!$B$77,Inputs!$B$76*(1-Inputs!$B$77/(((SUMPRODUCT(DCF!$B$7:$G$7/(1+$A10)^DCF!$B$8:$G$8)+DCF!$G$5*(1+D$5)/($A10-D$5)/(1+$A10)^(DCF!$B$6+5))+DCF!$B$31+DCF!$B$32)/DCF!$B$34)),0))</f>
        <v>6.30179001360398</v>
      </c>
      <c r="E10" s="32" t="n">
        <f aca="false">((SUMPRODUCT(DCF!$B$7:$G$7/(1+$A10)^DCF!$B$8:$G$8)+DCF!$G$5*(1+E$5)/($A10-E$5)/(1+$A10)^(DCF!$B$6+5))+DCF!$B$31+DCF!$B$32)/(DCF!$B$34+IF((((SUMPRODUCT(DCF!$B$7:$G$7/(1+$A10)^DCF!$B$8:$G$8)+DCF!$G$5*(1+E$5)/($A10-E$5)/(1+$A10)^(DCF!$B$6+5))+DCF!$B$31+DCF!$B$32)/DCF!$B$34)&gt;Inputs!$B$77,Inputs!$B$76*(1-Inputs!$B$77/(((SUMPRODUCT(DCF!$B$7:$G$7/(1+$A10)^DCF!$B$8:$G$8)+DCF!$G$5*(1+E$5)/($A10-E$5)/(1+$A10)^(DCF!$B$6+5))+DCF!$B$31+DCF!$B$32)/DCF!$B$34)),0))</f>
        <v>7.37436851010377</v>
      </c>
      <c r="F10" s="32" t="n">
        <f aca="false">((SUMPRODUCT(DCF!$B$7:$G$7/(1+$A10)^DCF!$B$8:$G$8)+DCF!$G$5*(1+F$5)/($A10-F$5)/(1+$A10)^(DCF!$B$6+5))+DCF!$B$31+DCF!$B$32)/(DCF!$B$34+IF((((SUMPRODUCT(DCF!$B$7:$G$7/(1+$A10)^DCF!$B$8:$G$8)+DCF!$G$5*(1+F$5)/($A10-F$5)/(1+$A10)^(DCF!$B$6+5))+DCF!$B$31+DCF!$B$32)/DCF!$B$34)&gt;Inputs!$B$77,Inputs!$B$76*(1-Inputs!$B$77/(((SUMPRODUCT(DCF!$B$7:$G$7/(1+$A10)^DCF!$B$8:$G$8)+DCF!$G$5*(1+F$5)/($A10-F$5)/(1+$A10)^(DCF!$B$6+5))+DCF!$B$31+DCF!$B$32)/DCF!$B$34)),0))</f>
        <v>8.58995747280354</v>
      </c>
    </row>
    <row r="11" customFormat="false" ht="15" hidden="false" customHeight="false" outlineLevel="0" collapsed="false">
      <c r="A11" s="13" t="n">
        <v>0.105</v>
      </c>
      <c r="B11" s="32" t="n">
        <f aca="false">((SUMPRODUCT(DCF!$B$7:$G$7/(1+$A11)^DCF!$B$8:$G$8)+DCF!$G$5*(1+B$5)/($A11-B$5)/(1+$A11)^(DCF!$B$6+5))+DCF!$B$31+DCF!$B$32)/(DCF!$B$34+IF((((SUMPRODUCT(DCF!$B$7:$G$7/(1+$A11)^DCF!$B$8:$G$8)+DCF!$G$5*(1+B$5)/($A11-B$5)/(1+$A11)^(DCF!$B$6+5))+DCF!$B$31+DCF!$B$32)/DCF!$B$34)&gt;Inputs!$B$77,Inputs!$B$76*(1-Inputs!$B$77/(((SUMPRODUCT(DCF!$B$7:$G$7/(1+$A11)^DCF!$B$8:$G$8)+DCF!$G$5*(1+B$5)/($A11-B$5)/(1+$A11)^(DCF!$B$6+5))+DCF!$B$31+DCF!$B$32)/DCF!$B$34)),0))</f>
        <v>3.39567432770012</v>
      </c>
      <c r="C11" s="32" t="n">
        <f aca="false">((SUMPRODUCT(DCF!$B$7:$G$7/(1+$A11)^DCF!$B$8:$G$8)+DCF!$G$5*(1+C$5)/($A11-C$5)/(1+$A11)^(DCF!$B$6+5))+DCF!$B$31+DCF!$B$32)/(DCF!$B$34+IF((((SUMPRODUCT(DCF!$B$7:$G$7/(1+$A11)^DCF!$B$8:$G$8)+DCF!$G$5*(1+C$5)/($A11-C$5)/(1+$A11)^(DCF!$B$6+5))+DCF!$B$31+DCF!$B$32)/DCF!$B$34)&gt;Inputs!$B$77,Inputs!$B$76*(1-Inputs!$B$77/(((SUMPRODUCT(DCF!$B$7:$G$7/(1+$A11)^DCF!$B$8:$G$8)+DCF!$G$5*(1+C$5)/($A11-C$5)/(1+$A11)^(DCF!$B$6+5))+DCF!$B$31+DCF!$B$32)/DCF!$B$34)),0))</f>
        <v>4.1489636286068</v>
      </c>
      <c r="D11" s="32" t="n">
        <f aca="false">((SUMPRODUCT(DCF!$B$7:$G$7/(1+$A11)^DCF!$B$8:$G$8)+DCF!$G$5*(1+D$5)/($A11-D$5)/(1+$A11)^(DCF!$B$6+5))+DCF!$B$31+DCF!$B$32)/(DCF!$B$34+IF((((SUMPRODUCT(DCF!$B$7:$G$7/(1+$A11)^DCF!$B$8:$G$8)+DCF!$G$5*(1+D$5)/($A11-D$5)/(1+$A11)^(DCF!$B$6+5))+DCF!$B$31+DCF!$B$32)/DCF!$B$34)&gt;Inputs!$B$77,Inputs!$B$76*(1-Inputs!$B$77/(((SUMPRODUCT(DCF!$B$7:$G$7/(1+$A11)^DCF!$B$8:$G$8)+DCF!$G$5*(1+D$5)/($A11-D$5)/(1+$A11)^(DCF!$B$6+5))+DCF!$B$31+DCF!$B$32)/DCF!$B$34)),0))</f>
        <v>4.98595174072534</v>
      </c>
      <c r="E11" s="32" t="n">
        <f aca="false">((SUMPRODUCT(DCF!$B$7:$G$7/(1+$A11)^DCF!$B$8:$G$8)+DCF!$G$5*(1+E$5)/($A11-E$5)/(1+$A11)^(DCF!$B$6+5))+DCF!$B$31+DCF!$B$32)/(DCF!$B$34+IF((((SUMPRODUCT(DCF!$B$7:$G$7/(1+$A11)^DCF!$B$8:$G$8)+DCF!$G$5*(1+E$5)/($A11-E$5)/(1+$A11)^(DCF!$B$6+5))+DCF!$B$31+DCF!$B$32)/DCF!$B$34)&gt;Inputs!$B$77,Inputs!$B$76*(1-Inputs!$B$77/(((SUMPRODUCT(DCF!$B$7:$G$7/(1+$A11)^DCF!$B$8:$G$8)+DCF!$G$5*(1+E$5)/($A11-E$5)/(1+$A11)^(DCF!$B$6+5))+DCF!$B$31+DCF!$B$32)/DCF!$B$34)),0))</f>
        <v>5.92140904250489</v>
      </c>
      <c r="F11" s="32" t="n">
        <f aca="false">((SUMPRODUCT(DCF!$B$7:$G$7/(1+$A11)^DCF!$B$8:$G$8)+DCF!$G$5*(1+F$5)/($A11-F$5)/(1+$A11)^(DCF!$B$6+5))+DCF!$B$31+DCF!$B$32)/(DCF!$B$34+IF((((SUMPRODUCT(DCF!$B$7:$G$7/(1+$A11)^DCF!$B$8:$G$8)+DCF!$G$5*(1+F$5)/($A11-F$5)/(1+$A11)^(DCF!$B$6+5))+DCF!$B$31+DCF!$B$32)/DCF!$B$34)&gt;Inputs!$B$77,Inputs!$B$76*(1-Inputs!$B$77/(((SUMPRODUCT(DCF!$B$7:$G$7/(1+$A11)^DCF!$B$8:$G$8)+DCF!$G$5*(1+F$5)/($A11-F$5)/(1+$A11)^(DCF!$B$6+5))+DCF!$B$31+DCF!$B$32)/DCF!$B$34)),0))</f>
        <v>6.97379850700687</v>
      </c>
    </row>
    <row r="12" customFormat="false" ht="15" hidden="false" customHeight="false" outlineLevel="0" collapsed="false">
      <c r="A12" s="13" t="n">
        <v>0.11</v>
      </c>
      <c r="B12" s="32" t="n">
        <f aca="false">((SUMPRODUCT(DCF!$B$7:$G$7/(1+$A12)^DCF!$B$8:$G$8)+DCF!$G$5*(1+B$5)/($A12-B$5)/(1+$A12)^(DCF!$B$6+5))+DCF!$B$31+DCF!$B$32)/(DCF!$B$34+IF((((SUMPRODUCT(DCF!$B$7:$G$7/(1+$A12)^DCF!$B$8:$G$8)+DCF!$G$5*(1+B$5)/($A12-B$5)/(1+$A12)^(DCF!$B$6+5))+DCF!$B$31+DCF!$B$32)/DCF!$B$34)&gt;Inputs!$B$77,Inputs!$B$76*(1-Inputs!$B$77/(((SUMPRODUCT(DCF!$B$7:$G$7/(1+$A12)^DCF!$B$8:$G$8)+DCF!$G$5*(1+B$5)/($A12-B$5)/(1+$A12)^(DCF!$B$6+5))+DCF!$B$31+DCF!$B$32)/DCF!$B$34)),0))</f>
        <v>2.40223688408959</v>
      </c>
      <c r="C12" s="32" t="n">
        <f aca="false">((SUMPRODUCT(DCF!$B$7:$G$7/(1+$A12)^DCF!$B$8:$G$8)+DCF!$G$5*(1+C$5)/($A12-C$5)/(1+$A12)^(DCF!$B$6+5))+DCF!$B$31+DCF!$B$32)/(DCF!$B$34+IF((((SUMPRODUCT(DCF!$B$7:$G$7/(1+$A12)^DCF!$B$8:$G$8)+DCF!$G$5*(1+C$5)/($A12-C$5)/(1+$A12)^(DCF!$B$6+5))+DCF!$B$31+DCF!$B$32)/DCF!$B$34)&gt;Inputs!$B$77,Inputs!$B$76*(1-Inputs!$B$77/(((SUMPRODUCT(DCF!$B$7:$G$7/(1+$A12)^DCF!$B$8:$G$8)+DCF!$G$5*(1+C$5)/($A12-C$5)/(1+$A12)^(DCF!$B$6+5))+DCF!$B$31+DCF!$B$32)/DCF!$B$34)),0))</f>
        <v>3.07101302223497</v>
      </c>
      <c r="D12" s="32" t="n">
        <f aca="false">((SUMPRODUCT(DCF!$B$7:$G$7/(1+$A12)^DCF!$B$8:$G$8)+DCF!$G$5*(1+D$5)/($A12-D$5)/(1+$A12)^(DCF!$B$6+5))+DCF!$B$31+DCF!$B$32)/(DCF!$B$34+IF((((SUMPRODUCT(DCF!$B$7:$G$7/(1+$A12)^DCF!$B$8:$G$8)+DCF!$G$5*(1+D$5)/($A12-D$5)/(1+$A12)^(DCF!$B$6+5))+DCF!$B$31+DCF!$B$32)/DCF!$B$34)&gt;Inputs!$B$77,Inputs!$B$76*(1-Inputs!$B$77/(((SUMPRODUCT(DCF!$B$7:$G$7/(1+$A12)^DCF!$B$8:$G$8)+DCF!$G$5*(1+D$5)/($A12-D$5)/(1+$A12)^(DCF!$B$6+5))+DCF!$B$31+DCF!$B$32)/DCF!$B$34)),0))</f>
        <v>3.81018664860619</v>
      </c>
      <c r="E12" s="32" t="n">
        <f aca="false">((SUMPRODUCT(DCF!$B$7:$G$7/(1+$A12)^DCF!$B$8:$G$8)+DCF!$G$5*(1+E$5)/($A12-E$5)/(1+$A12)^(DCF!$B$6+5))+DCF!$B$31+DCF!$B$32)/(DCF!$B$34+IF((((SUMPRODUCT(DCF!$B$7:$G$7/(1+$A12)^DCF!$B$8:$G$8)+DCF!$G$5*(1+E$5)/($A12-E$5)/(1+$A12)^(DCF!$B$6+5))+DCF!$B$31+DCF!$B$32)/DCF!$B$34)&gt;Inputs!$B$77,Inputs!$B$76*(1-Inputs!$B$77/(((SUMPRODUCT(DCF!$B$7:$G$7/(1+$A12)^DCF!$B$8:$G$8)+DCF!$G$5*(1+E$5)/($A12-E$5)/(1+$A12)^(DCF!$B$6+5))+DCF!$B$31+DCF!$B$32)/DCF!$B$34)),0))</f>
        <v>4.63149067790755</v>
      </c>
      <c r="F12" s="32" t="n">
        <f aca="false">((SUMPRODUCT(DCF!$B$7:$G$7/(1+$A12)^DCF!$B$8:$G$8)+DCF!$G$5*(1+F$5)/($A12-F$5)/(1+$A12)^(DCF!$B$6+5))+DCF!$B$31+DCF!$B$32)/(DCF!$B$34+IF((((SUMPRODUCT(DCF!$B$7:$G$7/(1+$A12)^DCF!$B$8:$G$8)+DCF!$G$5*(1+F$5)/($A12-F$5)/(1+$A12)^(DCF!$B$6+5))+DCF!$B$31+DCF!$B$32)/DCF!$B$34)&gt;Inputs!$B$77,Inputs!$B$76*(1-Inputs!$B$77/(((SUMPRODUCT(DCF!$B$7:$G$7/(1+$A12)^DCF!$B$8:$G$8)+DCF!$G$5*(1+F$5)/($A12-F$5)/(1+$A12)^(DCF!$B$6+5))+DCF!$B$31+DCF!$B$32)/DCF!$B$34)),0))</f>
        <v>5.54941871065611</v>
      </c>
    </row>
    <row r="15" customFormat="false" ht="15" hidden="false" customHeight="false" outlineLevel="0" collapsed="false">
      <c r="A15" s="4" t="s">
        <v>245</v>
      </c>
    </row>
    <row r="16" customFormat="false" ht="15" hidden="false" customHeight="false" outlineLevel="0" collapsed="false">
      <c r="A16" s="4" t="s">
        <v>246</v>
      </c>
      <c r="B16" s="19" t="n">
        <v>5</v>
      </c>
      <c r="C16" s="19" t="n">
        <v>6</v>
      </c>
      <c r="D16" s="19" t="n">
        <v>7</v>
      </c>
      <c r="E16" s="19" t="n">
        <v>8</v>
      </c>
      <c r="F16" s="19" t="n">
        <v>9</v>
      </c>
    </row>
    <row r="17" customFormat="false" ht="15" hidden="false" customHeight="false" outlineLevel="0" collapsed="false">
      <c r="A17" s="13" t="n">
        <v>0.08</v>
      </c>
      <c r="B17" s="32" t="n">
        <f aca="false">((SUMPRODUCT(DCF!$B$7:$G$7/(1+$A17)^DCF!$B$8:$G$8)+B$16*Forecast!$G$13/(1+$A17)^(DCF!$B$6+5))+DCF!$B$31+DCF!$B$32)/(DCF!$B$34+IF((((SUMPRODUCT(DCF!$B$7:$G$7/(1+$A17)^DCF!$B$8:$G$8)+B$16*Forecast!$G$13/(1+$A17)^(DCF!$B$6+5))+DCF!$B$31+DCF!$B$32)/DCF!$B$34)&gt;Inputs!$B$77,Inputs!$B$76*(1-Inputs!$B$77/(((SUMPRODUCT(DCF!$B$7:$G$7/(1+$A17)^DCF!$B$8:$G$8)+B$16*Forecast!$G$13/(1+$A17)^(DCF!$B$6+5))+DCF!$B$31+DCF!$B$32)/DCF!$B$34)),0))</f>
        <v>1.68917926951267</v>
      </c>
      <c r="C17" s="32" t="n">
        <f aca="false">((SUMPRODUCT(DCF!$B$7:$G$7/(1+$A17)^DCF!$B$8:$G$8)+C$16*Forecast!$G$13/(1+$A17)^(DCF!$B$6+5))+DCF!$B$31+DCF!$B$32)/(DCF!$B$34+IF((((SUMPRODUCT(DCF!$B$7:$G$7/(1+$A17)^DCF!$B$8:$G$8)+C$16*Forecast!$G$13/(1+$A17)^(DCF!$B$6+5))+DCF!$B$31+DCF!$B$32)/DCF!$B$34)&gt;Inputs!$B$77,Inputs!$B$76*(1-Inputs!$B$77/(((SUMPRODUCT(DCF!$B$7:$G$7/(1+$A17)^DCF!$B$8:$G$8)+C$16*Forecast!$G$13/(1+$A17)^(DCF!$B$6+5))+DCF!$B$31+DCF!$B$32)/DCF!$B$34)),0))</f>
        <v>3.85944653504408</v>
      </c>
      <c r="D17" s="32" t="n">
        <f aca="false">((SUMPRODUCT(DCF!$B$7:$G$7/(1+$A17)^DCF!$B$8:$G$8)+D$16*Forecast!$G$13/(1+$A17)^(DCF!$B$6+5))+DCF!$B$31+DCF!$B$32)/(DCF!$B$34+IF((((SUMPRODUCT(DCF!$B$7:$G$7/(1+$A17)^DCF!$B$8:$G$8)+D$16*Forecast!$G$13/(1+$A17)^(DCF!$B$6+5))+DCF!$B$31+DCF!$B$32)/DCF!$B$34)&gt;Inputs!$B$77,Inputs!$B$76*(1-Inputs!$B$77/(((SUMPRODUCT(DCF!$B$7:$G$7/(1+$A17)^DCF!$B$8:$G$8)+D$16*Forecast!$G$13/(1+$A17)^(DCF!$B$6+5))+DCF!$B$31+DCF!$B$32)/DCF!$B$34)),0))</f>
        <v>6.02971380057548</v>
      </c>
      <c r="E17" s="32" t="n">
        <f aca="false">((SUMPRODUCT(DCF!$B$7:$G$7/(1+$A17)^DCF!$B$8:$G$8)+E$16*Forecast!$G$13/(1+$A17)^(DCF!$B$6+5))+DCF!$B$31+DCF!$B$32)/(DCF!$B$34+IF((((SUMPRODUCT(DCF!$B$7:$G$7/(1+$A17)^DCF!$B$8:$G$8)+E$16*Forecast!$G$13/(1+$A17)^(DCF!$B$6+5))+DCF!$B$31+DCF!$B$32)/DCF!$B$34)&gt;Inputs!$B$77,Inputs!$B$76*(1-Inputs!$B$77/(((SUMPRODUCT(DCF!$B$7:$G$7/(1+$A17)^DCF!$B$8:$G$8)+E$16*Forecast!$G$13/(1+$A17)^(DCF!$B$6+5))+DCF!$B$31+DCF!$B$32)/DCF!$B$34)),0))</f>
        <v>8.19998106610689</v>
      </c>
      <c r="F17" s="32" t="n">
        <f aca="false">((SUMPRODUCT(DCF!$B$7:$G$7/(1+$A17)^DCF!$B$8:$G$8)+F$16*Forecast!$G$13/(1+$A17)^(DCF!$B$6+5))+DCF!$B$31+DCF!$B$32)/(DCF!$B$34+IF((((SUMPRODUCT(DCF!$B$7:$G$7/(1+$A17)^DCF!$B$8:$G$8)+F$16*Forecast!$G$13/(1+$A17)^(DCF!$B$6+5))+DCF!$B$31+DCF!$B$32)/DCF!$B$34)&gt;Inputs!$B$77,Inputs!$B$76*(1-Inputs!$B$77/(((SUMPRODUCT(DCF!$B$7:$G$7/(1+$A17)^DCF!$B$8:$G$8)+F$16*Forecast!$G$13/(1+$A17)^(DCF!$B$6+5))+DCF!$B$31+DCF!$B$32)/DCF!$B$34)),0))</f>
        <v>10.3702483316383</v>
      </c>
    </row>
    <row r="18" customFormat="false" ht="15" hidden="false" customHeight="false" outlineLevel="0" collapsed="false">
      <c r="A18" s="13" t="n">
        <v>0.085</v>
      </c>
      <c r="B18" s="32" t="n">
        <f aca="false">((SUMPRODUCT(DCF!$B$7:$G$7/(1+$A18)^DCF!$B$8:$G$8)+B$16*Forecast!$G$13/(1+$A18)^(DCF!$B$6+5))+DCF!$B$31+DCF!$B$32)/(DCF!$B$34+IF((((SUMPRODUCT(DCF!$B$7:$G$7/(1+$A18)^DCF!$B$8:$G$8)+B$16*Forecast!$G$13/(1+$A18)^(DCF!$B$6+5))+DCF!$B$31+DCF!$B$32)/DCF!$B$34)&gt;Inputs!$B$77,Inputs!$B$76*(1-Inputs!$B$77/(((SUMPRODUCT(DCF!$B$7:$G$7/(1+$A18)^DCF!$B$8:$G$8)+B$16*Forecast!$G$13/(1+$A18)^(DCF!$B$6+5))+DCF!$B$31+DCF!$B$32)/DCF!$B$34)),0))</f>
        <v>1.33648095360831</v>
      </c>
      <c r="C18" s="32" t="n">
        <f aca="false">((SUMPRODUCT(DCF!$B$7:$G$7/(1+$A18)^DCF!$B$8:$G$8)+C$16*Forecast!$G$13/(1+$A18)^(DCF!$B$6+5))+DCF!$B$31+DCF!$B$32)/(DCF!$B$34+IF((((SUMPRODUCT(DCF!$B$7:$G$7/(1+$A18)^DCF!$B$8:$G$8)+C$16*Forecast!$G$13/(1+$A18)^(DCF!$B$6+5))+DCF!$B$31+DCF!$B$32)/DCF!$B$34)&gt;Inputs!$B$77,Inputs!$B$76*(1-Inputs!$B$77/(((SUMPRODUCT(DCF!$B$7:$G$7/(1+$A18)^DCF!$B$8:$G$8)+C$16*Forecast!$G$13/(1+$A18)^(DCF!$B$6+5))+DCF!$B$31+DCF!$B$32)/DCF!$B$34)),0))</f>
        <v>3.45534050146572</v>
      </c>
      <c r="D18" s="32" t="n">
        <f aca="false">((SUMPRODUCT(DCF!$B$7:$G$7/(1+$A18)^DCF!$B$8:$G$8)+D$16*Forecast!$G$13/(1+$A18)^(DCF!$B$6+5))+DCF!$B$31+DCF!$B$32)/(DCF!$B$34+IF((((SUMPRODUCT(DCF!$B$7:$G$7/(1+$A18)^DCF!$B$8:$G$8)+D$16*Forecast!$G$13/(1+$A18)^(DCF!$B$6+5))+DCF!$B$31+DCF!$B$32)/DCF!$B$34)&gt;Inputs!$B$77,Inputs!$B$76*(1-Inputs!$B$77/(((SUMPRODUCT(DCF!$B$7:$G$7/(1+$A18)^DCF!$B$8:$G$8)+D$16*Forecast!$G$13/(1+$A18)^(DCF!$B$6+5))+DCF!$B$31+DCF!$B$32)/DCF!$B$34)),0))</f>
        <v>5.57420004932313</v>
      </c>
      <c r="E18" s="32" t="n">
        <f aca="false">((SUMPRODUCT(DCF!$B$7:$G$7/(1+$A18)^DCF!$B$8:$G$8)+E$16*Forecast!$G$13/(1+$A18)^(DCF!$B$6+5))+DCF!$B$31+DCF!$B$32)/(DCF!$B$34+IF((((SUMPRODUCT(DCF!$B$7:$G$7/(1+$A18)^DCF!$B$8:$G$8)+E$16*Forecast!$G$13/(1+$A18)^(DCF!$B$6+5))+DCF!$B$31+DCF!$B$32)/DCF!$B$34)&gt;Inputs!$B$77,Inputs!$B$76*(1-Inputs!$B$77/(((SUMPRODUCT(DCF!$B$7:$G$7/(1+$A18)^DCF!$B$8:$G$8)+E$16*Forecast!$G$13/(1+$A18)^(DCF!$B$6+5))+DCF!$B$31+DCF!$B$32)/DCF!$B$34)),0))</f>
        <v>7.69305959718054</v>
      </c>
      <c r="F18" s="32" t="n">
        <f aca="false">((SUMPRODUCT(DCF!$B$7:$G$7/(1+$A18)^DCF!$B$8:$G$8)+F$16*Forecast!$G$13/(1+$A18)^(DCF!$B$6+5))+DCF!$B$31+DCF!$B$32)/(DCF!$B$34+IF((((SUMPRODUCT(DCF!$B$7:$G$7/(1+$A18)^DCF!$B$8:$G$8)+F$16*Forecast!$G$13/(1+$A18)^(DCF!$B$6+5))+DCF!$B$31+DCF!$B$32)/DCF!$B$34)&gt;Inputs!$B$77,Inputs!$B$76*(1-Inputs!$B$77/(((SUMPRODUCT(DCF!$B$7:$G$7/(1+$A18)^DCF!$B$8:$G$8)+F$16*Forecast!$G$13/(1+$A18)^(DCF!$B$6+5))+DCF!$B$31+DCF!$B$32)/DCF!$B$34)),0))</f>
        <v>9.81191914503795</v>
      </c>
    </row>
    <row r="19" customFormat="false" ht="15" hidden="false" customHeight="false" outlineLevel="0" collapsed="false">
      <c r="A19" s="13" t="n">
        <v>0.09</v>
      </c>
      <c r="B19" s="32" t="n">
        <f aca="false">((SUMPRODUCT(DCF!$B$7:$G$7/(1+$A19)^DCF!$B$8:$G$8)+B$16*Forecast!$G$13/(1+$A19)^(DCF!$B$6+5))+DCF!$B$31+DCF!$B$32)/(DCF!$B$34+IF((((SUMPRODUCT(DCF!$B$7:$G$7/(1+$A19)^DCF!$B$8:$G$8)+B$16*Forecast!$G$13/(1+$A19)^(DCF!$B$6+5))+DCF!$B$31+DCF!$B$32)/DCF!$B$34)&gt;Inputs!$B$77,Inputs!$B$76*(1-Inputs!$B$77/(((SUMPRODUCT(DCF!$B$7:$G$7/(1+$A19)^DCF!$B$8:$G$8)+B$16*Forecast!$G$13/(1+$A19)^(DCF!$B$6+5))+DCF!$B$31+DCF!$B$32)/DCF!$B$34)),0))</f>
        <v>0.992949214998341</v>
      </c>
      <c r="C19" s="32" t="n">
        <f aca="false">((SUMPRODUCT(DCF!$B$7:$G$7/(1+$A19)^DCF!$B$8:$G$8)+C$16*Forecast!$G$13/(1+$A19)^(DCF!$B$6+5))+DCF!$B$31+DCF!$B$32)/(DCF!$B$34+IF((((SUMPRODUCT(DCF!$B$7:$G$7/(1+$A19)^DCF!$B$8:$G$8)+C$16*Forecast!$G$13/(1+$A19)^(DCF!$B$6+5))+DCF!$B$31+DCF!$B$32)/DCF!$B$34)&gt;Inputs!$B$77,Inputs!$B$76*(1-Inputs!$B$77/(((SUMPRODUCT(DCF!$B$7:$G$7/(1+$A19)^DCF!$B$8:$G$8)+C$16*Forecast!$G$13/(1+$A19)^(DCF!$B$6+5))+DCF!$B$31+DCF!$B$32)/DCF!$B$34)),0))</f>
        <v>3.06184677110249</v>
      </c>
      <c r="D19" s="32" t="n">
        <f aca="false">((SUMPRODUCT(DCF!$B$7:$G$7/(1+$A19)^DCF!$B$8:$G$8)+D$16*Forecast!$G$13/(1+$A19)^(DCF!$B$6+5))+DCF!$B$31+DCF!$B$32)/(DCF!$B$34+IF((((SUMPRODUCT(DCF!$B$7:$G$7/(1+$A19)^DCF!$B$8:$G$8)+D$16*Forecast!$G$13/(1+$A19)^(DCF!$B$6+5))+DCF!$B$31+DCF!$B$32)/DCF!$B$34)&gt;Inputs!$B$77,Inputs!$B$76*(1-Inputs!$B$77/(((SUMPRODUCT(DCF!$B$7:$G$7/(1+$A19)^DCF!$B$8:$G$8)+D$16*Forecast!$G$13/(1+$A19)^(DCF!$B$6+5))+DCF!$B$31+DCF!$B$32)/DCF!$B$34)),0))</f>
        <v>5.13074432720664</v>
      </c>
      <c r="E19" s="32" t="n">
        <f aca="false">((SUMPRODUCT(DCF!$B$7:$G$7/(1+$A19)^DCF!$B$8:$G$8)+E$16*Forecast!$G$13/(1+$A19)^(DCF!$B$6+5))+DCF!$B$31+DCF!$B$32)/(DCF!$B$34+IF((((SUMPRODUCT(DCF!$B$7:$G$7/(1+$A19)^DCF!$B$8:$G$8)+E$16*Forecast!$G$13/(1+$A19)^(DCF!$B$6+5))+DCF!$B$31+DCF!$B$32)/DCF!$B$34)&gt;Inputs!$B$77,Inputs!$B$76*(1-Inputs!$B$77/(((SUMPRODUCT(DCF!$B$7:$G$7/(1+$A19)^DCF!$B$8:$G$8)+E$16*Forecast!$G$13/(1+$A19)^(DCF!$B$6+5))+DCF!$B$31+DCF!$B$32)/DCF!$B$34)),0))</f>
        <v>7.19964188331078</v>
      </c>
      <c r="F19" s="32" t="n">
        <f aca="false">((SUMPRODUCT(DCF!$B$7:$G$7/(1+$A19)^DCF!$B$8:$G$8)+F$16*Forecast!$G$13/(1+$A19)^(DCF!$B$6+5))+DCF!$B$31+DCF!$B$32)/(DCF!$B$34+IF((((SUMPRODUCT(DCF!$B$7:$G$7/(1+$A19)^DCF!$B$8:$G$8)+F$16*Forecast!$G$13/(1+$A19)^(DCF!$B$6+5))+DCF!$B$31+DCF!$B$32)/DCF!$B$34)&gt;Inputs!$B$77,Inputs!$B$76*(1-Inputs!$B$77/(((SUMPRODUCT(DCF!$B$7:$G$7/(1+$A19)^DCF!$B$8:$G$8)+F$16*Forecast!$G$13/(1+$A19)^(DCF!$B$6+5))+DCF!$B$31+DCF!$B$32)/DCF!$B$34)),0))</f>
        <v>9.26853943941492</v>
      </c>
    </row>
    <row r="20" customFormat="false" ht="15" hidden="false" customHeight="false" outlineLevel="0" collapsed="false">
      <c r="A20" s="13" t="n">
        <v>0.095</v>
      </c>
      <c r="B20" s="32" t="n">
        <f aca="false">((SUMPRODUCT(DCF!$B$7:$G$7/(1+$A20)^DCF!$B$8:$G$8)+B$16*Forecast!$G$13/(1+$A20)^(DCF!$B$6+5))+DCF!$B$31+DCF!$B$32)/(DCF!$B$34+IF((((SUMPRODUCT(DCF!$B$7:$G$7/(1+$A20)^DCF!$B$8:$G$8)+B$16*Forecast!$G$13/(1+$A20)^(DCF!$B$6+5))+DCF!$B$31+DCF!$B$32)/DCF!$B$34)&gt;Inputs!$B$77,Inputs!$B$76*(1-Inputs!$B$77/(((SUMPRODUCT(DCF!$B$7:$G$7/(1+$A20)^DCF!$B$8:$G$8)+B$16*Forecast!$G$13/(1+$A20)^(DCF!$B$6+5))+DCF!$B$31+DCF!$B$32)/DCF!$B$34)),0))</f>
        <v>0.658298448087093</v>
      </c>
      <c r="C20" s="32" t="n">
        <f aca="false">((SUMPRODUCT(DCF!$B$7:$G$7/(1+$A20)^DCF!$B$8:$G$8)+C$16*Forecast!$G$13/(1+$A20)^(DCF!$B$6+5))+DCF!$B$31+DCF!$B$32)/(DCF!$B$34+IF((((SUMPRODUCT(DCF!$B$7:$G$7/(1+$A20)^DCF!$B$8:$G$8)+C$16*Forecast!$G$13/(1+$A20)^(DCF!$B$6+5))+DCF!$B$31+DCF!$B$32)/DCF!$B$34)&gt;Inputs!$B$77,Inputs!$B$76*(1-Inputs!$B$77/(((SUMPRODUCT(DCF!$B$7:$G$7/(1+$A20)^DCF!$B$8:$G$8)+C$16*Forecast!$G$13/(1+$A20)^(DCF!$B$6+5))+DCF!$B$31+DCF!$B$32)/DCF!$B$34)),0))</f>
        <v>2.67863272620896</v>
      </c>
      <c r="D20" s="32" t="n">
        <f aca="false">((SUMPRODUCT(DCF!$B$7:$G$7/(1+$A20)^DCF!$B$8:$G$8)+D$16*Forecast!$G$13/(1+$A20)^(DCF!$B$6+5))+DCF!$B$31+DCF!$B$32)/(DCF!$B$34+IF((((SUMPRODUCT(DCF!$B$7:$G$7/(1+$A20)^DCF!$B$8:$G$8)+D$16*Forecast!$G$13/(1+$A20)^(DCF!$B$6+5))+DCF!$B$31+DCF!$B$32)/DCF!$B$34)&gt;Inputs!$B$77,Inputs!$B$76*(1-Inputs!$B$77/(((SUMPRODUCT(DCF!$B$7:$G$7/(1+$A20)^DCF!$B$8:$G$8)+D$16*Forecast!$G$13/(1+$A20)^(DCF!$B$6+5))+DCF!$B$31+DCF!$B$32)/DCF!$B$34)),0))</f>
        <v>4.69896700433084</v>
      </c>
      <c r="E20" s="32" t="n">
        <f aca="false">((SUMPRODUCT(DCF!$B$7:$G$7/(1+$A20)^DCF!$B$8:$G$8)+E$16*Forecast!$G$13/(1+$A20)^(DCF!$B$6+5))+DCF!$B$31+DCF!$B$32)/(DCF!$B$34+IF((((SUMPRODUCT(DCF!$B$7:$G$7/(1+$A20)^DCF!$B$8:$G$8)+E$16*Forecast!$G$13/(1+$A20)^(DCF!$B$6+5))+DCF!$B$31+DCF!$B$32)/DCF!$B$34)&gt;Inputs!$B$77,Inputs!$B$76*(1-Inputs!$B$77/(((SUMPRODUCT(DCF!$B$7:$G$7/(1+$A20)^DCF!$B$8:$G$8)+E$16*Forecast!$G$13/(1+$A20)^(DCF!$B$6+5))+DCF!$B$31+DCF!$B$32)/DCF!$B$34)),0))</f>
        <v>6.71930128245271</v>
      </c>
      <c r="F20" s="32" t="n">
        <f aca="false">((SUMPRODUCT(DCF!$B$7:$G$7/(1+$A20)^DCF!$B$8:$G$8)+F$16*Forecast!$G$13/(1+$A20)^(DCF!$B$6+5))+DCF!$B$31+DCF!$B$32)/(DCF!$B$34+IF((((SUMPRODUCT(DCF!$B$7:$G$7/(1+$A20)^DCF!$B$8:$G$8)+F$16*Forecast!$G$13/(1+$A20)^(DCF!$B$6+5))+DCF!$B$31+DCF!$B$32)/DCF!$B$34)&gt;Inputs!$B$77,Inputs!$B$76*(1-Inputs!$B$77/(((SUMPRODUCT(DCF!$B$7:$G$7/(1+$A20)^DCF!$B$8:$G$8)+F$16*Forecast!$G$13/(1+$A20)^(DCF!$B$6+5))+DCF!$B$31+DCF!$B$32)/DCF!$B$34)),0))</f>
        <v>8.73963556057459</v>
      </c>
    </row>
    <row r="21" customFormat="false" ht="15" hidden="false" customHeight="false" outlineLevel="0" collapsed="false">
      <c r="A21" s="13" t="n">
        <v>0.1</v>
      </c>
      <c r="B21" s="32" t="n">
        <f aca="false">((SUMPRODUCT(DCF!$B$7:$G$7/(1+$A21)^DCF!$B$8:$G$8)+B$16*Forecast!$G$13/(1+$A21)^(DCF!$B$6+5))+DCF!$B$31+DCF!$B$32)/(DCF!$B$34+IF((((SUMPRODUCT(DCF!$B$7:$G$7/(1+$A21)^DCF!$B$8:$G$8)+B$16*Forecast!$G$13/(1+$A21)^(DCF!$B$6+5))+DCF!$B$31+DCF!$B$32)/DCF!$B$34)&gt;Inputs!$B$77,Inputs!$B$76*(1-Inputs!$B$77/(((SUMPRODUCT(DCF!$B$7:$G$7/(1+$A21)^DCF!$B$8:$G$8)+B$16*Forecast!$G$13/(1+$A21)^(DCF!$B$6+5))+DCF!$B$31+DCF!$B$32)/DCF!$B$34)),0))</f>
        <v>0.332253296181316</v>
      </c>
      <c r="C21" s="32" t="n">
        <f aca="false">((SUMPRODUCT(DCF!$B$7:$G$7/(1+$A21)^DCF!$B$8:$G$8)+C$16*Forecast!$G$13/(1+$A21)^(DCF!$B$6+5))+DCF!$B$31+DCF!$B$32)/(DCF!$B$34+IF((((SUMPRODUCT(DCF!$B$7:$G$7/(1+$A21)^DCF!$B$8:$G$8)+C$16*Forecast!$G$13/(1+$A21)^(DCF!$B$6+5))+DCF!$B$31+DCF!$B$32)/DCF!$B$34)&gt;Inputs!$B$77,Inputs!$B$76*(1-Inputs!$B$77/(((SUMPRODUCT(DCF!$B$7:$G$7/(1+$A21)^DCF!$B$8:$G$8)+C$16*Forecast!$G$13/(1+$A21)^(DCF!$B$6+5))+DCF!$B$31+DCF!$B$32)/DCF!$B$34)),0))</f>
        <v>2.30537773145255</v>
      </c>
      <c r="D21" s="32" t="n">
        <f aca="false">((SUMPRODUCT(DCF!$B$7:$G$7/(1+$A21)^DCF!$B$8:$G$8)+D$16*Forecast!$G$13/(1+$A21)^(DCF!$B$6+5))+DCF!$B$31+DCF!$B$32)/(DCF!$B$34+IF((((SUMPRODUCT(DCF!$B$7:$G$7/(1+$A21)^DCF!$B$8:$G$8)+D$16*Forecast!$G$13/(1+$A21)^(DCF!$B$6+5))+DCF!$B$31+DCF!$B$32)/DCF!$B$34)&gt;Inputs!$B$77,Inputs!$B$76*(1-Inputs!$B$77/(((SUMPRODUCT(DCF!$B$7:$G$7/(1+$A21)^DCF!$B$8:$G$8)+D$16*Forecast!$G$13/(1+$A21)^(DCF!$B$6+5))+DCF!$B$31+DCF!$B$32)/DCF!$B$34)),0))</f>
        <v>4.27850216672378</v>
      </c>
      <c r="E21" s="32" t="n">
        <f aca="false">((SUMPRODUCT(DCF!$B$7:$G$7/(1+$A21)^DCF!$B$8:$G$8)+E$16*Forecast!$G$13/(1+$A21)^(DCF!$B$6+5))+DCF!$B$31+DCF!$B$32)/(DCF!$B$34+IF((((SUMPRODUCT(DCF!$B$7:$G$7/(1+$A21)^DCF!$B$8:$G$8)+E$16*Forecast!$G$13/(1+$A21)^(DCF!$B$6+5))+DCF!$B$31+DCF!$B$32)/DCF!$B$34)&gt;Inputs!$B$77,Inputs!$B$76*(1-Inputs!$B$77/(((SUMPRODUCT(DCF!$B$7:$G$7/(1+$A21)^DCF!$B$8:$G$8)+E$16*Forecast!$G$13/(1+$A21)^(DCF!$B$6+5))+DCF!$B$31+DCF!$B$32)/DCF!$B$34)),0))</f>
        <v>6.25162660199501</v>
      </c>
      <c r="F21" s="32" t="n">
        <f aca="false">((SUMPRODUCT(DCF!$B$7:$G$7/(1+$A21)^DCF!$B$8:$G$8)+F$16*Forecast!$G$13/(1+$A21)^(DCF!$B$6+5))+DCF!$B$31+DCF!$B$32)/(DCF!$B$34+IF((((SUMPRODUCT(DCF!$B$7:$G$7/(1+$A21)^DCF!$B$8:$G$8)+F$16*Forecast!$G$13/(1+$A21)^(DCF!$B$6+5))+DCF!$B$31+DCF!$B$32)/DCF!$B$34)&gt;Inputs!$B$77,Inputs!$B$76*(1-Inputs!$B$77/(((SUMPRODUCT(DCF!$B$7:$G$7/(1+$A21)^DCF!$B$8:$G$8)+F$16*Forecast!$G$13/(1+$A21)^(DCF!$B$6+5))+DCF!$B$31+DCF!$B$32)/DCF!$B$34)),0))</f>
        <v>8.22475103726624</v>
      </c>
    </row>
    <row r="22" customFormat="false" ht="15" hidden="false" customHeight="false" outlineLevel="0" collapsed="false">
      <c r="A22" s="13" t="n">
        <v>0.105</v>
      </c>
      <c r="B22" s="32" t="n">
        <f aca="false">((SUMPRODUCT(DCF!$B$7:$G$7/(1+$A22)^DCF!$B$8:$G$8)+B$16*Forecast!$G$13/(1+$A22)^(DCF!$B$6+5))+DCF!$B$31+DCF!$B$32)/(DCF!$B$34+IF((((SUMPRODUCT(DCF!$B$7:$G$7/(1+$A22)^DCF!$B$8:$G$8)+B$16*Forecast!$G$13/(1+$A22)^(DCF!$B$6+5))+DCF!$B$31+DCF!$B$32)/DCF!$B$34)&gt;Inputs!$B$77,Inputs!$B$76*(1-Inputs!$B$77/(((SUMPRODUCT(DCF!$B$7:$G$7/(1+$A22)^DCF!$B$8:$G$8)+B$16*Forecast!$G$13/(1+$A22)^(DCF!$B$6+5))+DCF!$B$31+DCF!$B$32)/DCF!$B$34)),0))</f>
        <v>0.0145482372658455</v>
      </c>
      <c r="C22" s="32" t="n">
        <f aca="false">((SUMPRODUCT(DCF!$B$7:$G$7/(1+$A22)^DCF!$B$8:$G$8)+C$16*Forecast!$G$13/(1+$A22)^(DCF!$B$6+5))+DCF!$B$31+DCF!$B$32)/(DCF!$B$34+IF((((SUMPRODUCT(DCF!$B$7:$G$7/(1+$A22)^DCF!$B$8:$G$8)+C$16*Forecast!$G$13/(1+$A22)^(DCF!$B$6+5))+DCF!$B$31+DCF!$B$32)/DCF!$B$34)&gt;Inputs!$B$77,Inputs!$B$76*(1-Inputs!$B$77/(((SUMPRODUCT(DCF!$B$7:$G$7/(1+$A22)^DCF!$B$8:$G$8)+C$16*Forecast!$G$13/(1+$A22)^(DCF!$B$6+5))+DCF!$B$31+DCF!$B$32)/DCF!$B$34)),0))</f>
        <v>1.94177264828545</v>
      </c>
      <c r="D22" s="32" t="n">
        <f aca="false">((SUMPRODUCT(DCF!$B$7:$G$7/(1+$A22)^DCF!$B$8:$G$8)+D$16*Forecast!$G$13/(1+$A22)^(DCF!$B$6+5))+DCF!$B$31+DCF!$B$32)/(DCF!$B$34+IF((((SUMPRODUCT(DCF!$B$7:$G$7/(1+$A22)^DCF!$B$8:$G$8)+D$16*Forecast!$G$13/(1+$A22)^(DCF!$B$6+5))+DCF!$B$31+DCF!$B$32)/DCF!$B$34)&gt;Inputs!$B$77,Inputs!$B$76*(1-Inputs!$B$77/(((SUMPRODUCT(DCF!$B$7:$G$7/(1+$A22)^DCF!$B$8:$G$8)+D$16*Forecast!$G$13/(1+$A22)^(DCF!$B$6+5))+DCF!$B$31+DCF!$B$32)/DCF!$B$34)),0))</f>
        <v>3.86899705930504</v>
      </c>
      <c r="E22" s="32" t="n">
        <f aca="false">((SUMPRODUCT(DCF!$B$7:$G$7/(1+$A22)^DCF!$B$8:$G$8)+E$16*Forecast!$G$13/(1+$A22)^(DCF!$B$6+5))+DCF!$B$31+DCF!$B$32)/(DCF!$B$34+IF((((SUMPRODUCT(DCF!$B$7:$G$7/(1+$A22)^DCF!$B$8:$G$8)+E$16*Forecast!$G$13/(1+$A22)^(DCF!$B$6+5))+DCF!$B$31+DCF!$B$32)/DCF!$B$34)&gt;Inputs!$B$77,Inputs!$B$76*(1-Inputs!$B$77/(((SUMPRODUCT(DCF!$B$7:$G$7/(1+$A22)^DCF!$B$8:$G$8)+E$16*Forecast!$G$13/(1+$A22)^(DCF!$B$6+5))+DCF!$B$31+DCF!$B$32)/DCF!$B$34)),0))</f>
        <v>5.79622147032464</v>
      </c>
      <c r="F22" s="32" t="n">
        <f aca="false">((SUMPRODUCT(DCF!$B$7:$G$7/(1+$A22)^DCF!$B$8:$G$8)+F$16*Forecast!$G$13/(1+$A22)^(DCF!$B$6+5))+DCF!$B$31+DCF!$B$32)/(DCF!$B$34+IF((((SUMPRODUCT(DCF!$B$7:$G$7/(1+$A22)^DCF!$B$8:$G$8)+F$16*Forecast!$G$13/(1+$A22)^(DCF!$B$6+5))+DCF!$B$31+DCF!$B$32)/DCF!$B$34)&gt;Inputs!$B$77,Inputs!$B$76*(1-Inputs!$B$77/(((SUMPRODUCT(DCF!$B$7:$G$7/(1+$A22)^DCF!$B$8:$G$8)+F$16*Forecast!$G$13/(1+$A22)^(DCF!$B$6+5))+DCF!$B$31+DCF!$B$32)/DCF!$B$34)),0))</f>
        <v>7.72344588134424</v>
      </c>
    </row>
    <row r="23" customFormat="false" ht="15" hidden="false" customHeight="false" outlineLevel="0" collapsed="false">
      <c r="A23" s="13" t="n">
        <v>0.11</v>
      </c>
      <c r="B23" s="32" t="n">
        <f aca="false">((SUMPRODUCT(DCF!$B$7:$G$7/(1+$A23)^DCF!$B$8:$G$8)+B$16*Forecast!$G$13/(1+$A23)^(DCF!$B$6+5))+DCF!$B$31+DCF!$B$32)/(DCF!$B$34+IF((((SUMPRODUCT(DCF!$B$7:$G$7/(1+$A23)^DCF!$B$8:$G$8)+B$16*Forecast!$G$13/(1+$A23)^(DCF!$B$6+5))+DCF!$B$31+DCF!$B$32)/DCF!$B$34)&gt;Inputs!$B$77,Inputs!$B$76*(1-Inputs!$B$77/(((SUMPRODUCT(DCF!$B$7:$G$7/(1+$A23)^DCF!$B$8:$G$8)+B$16*Forecast!$G$13/(1+$A23)^(DCF!$B$6+5))+DCF!$B$31+DCF!$B$32)/DCF!$B$34)),0))</f>
        <v>-0.295072811650001</v>
      </c>
      <c r="C23" s="32" t="n">
        <f aca="false">((SUMPRODUCT(DCF!$B$7:$G$7/(1+$A23)^DCF!$B$8:$G$8)+C$16*Forecast!$G$13/(1+$A23)^(DCF!$B$6+5))+DCF!$B$31+DCF!$B$32)/(DCF!$B$34+IF((((SUMPRODUCT(DCF!$B$7:$G$7/(1+$A23)^DCF!$B$8:$G$8)+C$16*Forecast!$G$13/(1+$A23)^(DCF!$B$6+5))+DCF!$B$31+DCF!$B$32)/DCF!$B$34)&gt;Inputs!$B$77,Inputs!$B$76*(1-Inputs!$B$77/(((SUMPRODUCT(DCF!$B$7:$G$7/(1+$A23)^DCF!$B$8:$G$8)+C$16*Forecast!$G$13/(1+$A23)^(DCF!$B$6+5))+DCF!$B$31+DCF!$B$32)/DCF!$B$34)),0))</f>
        <v>1.58751937113402</v>
      </c>
      <c r="D23" s="32" t="n">
        <f aca="false">((SUMPRODUCT(DCF!$B$7:$G$7/(1+$A23)^DCF!$B$8:$G$8)+D$16*Forecast!$G$13/(1+$A23)^(DCF!$B$6+5))+DCF!$B$31+DCF!$B$32)/(DCF!$B$34+IF((((SUMPRODUCT(DCF!$B$7:$G$7/(1+$A23)^DCF!$B$8:$G$8)+D$16*Forecast!$G$13/(1+$A23)^(DCF!$B$6+5))+DCF!$B$31+DCF!$B$32)/DCF!$B$34)&gt;Inputs!$B$77,Inputs!$B$76*(1-Inputs!$B$77/(((SUMPRODUCT(DCF!$B$7:$G$7/(1+$A23)^DCF!$B$8:$G$8)+D$16*Forecast!$G$13/(1+$A23)^(DCF!$B$6+5))+DCF!$B$31+DCF!$B$32)/DCF!$B$34)),0))</f>
        <v>3.47011155391804</v>
      </c>
      <c r="E23" s="32" t="n">
        <f aca="false">((SUMPRODUCT(DCF!$B$7:$G$7/(1+$A23)^DCF!$B$8:$G$8)+E$16*Forecast!$G$13/(1+$A23)^(DCF!$B$6+5))+DCF!$B$31+DCF!$B$32)/(DCF!$B$34+IF((((SUMPRODUCT(DCF!$B$7:$G$7/(1+$A23)^DCF!$B$8:$G$8)+E$16*Forecast!$G$13/(1+$A23)^(DCF!$B$6+5))+DCF!$B$31+DCF!$B$32)/DCF!$B$34)&gt;Inputs!$B$77,Inputs!$B$76*(1-Inputs!$B$77/(((SUMPRODUCT(DCF!$B$7:$G$7/(1+$A23)^DCF!$B$8:$G$8)+E$16*Forecast!$G$13/(1+$A23)^(DCF!$B$6+5))+DCF!$B$31+DCF!$B$32)/DCF!$B$34)),0))</f>
        <v>5.35270373670206</v>
      </c>
      <c r="F23" s="32" t="n">
        <f aca="false">((SUMPRODUCT(DCF!$B$7:$G$7/(1+$A23)^DCF!$B$8:$G$8)+F$16*Forecast!$G$13/(1+$A23)^(DCF!$B$6+5))+DCF!$B$31+DCF!$B$32)/(DCF!$B$34+IF((((SUMPRODUCT(DCF!$B$7:$G$7/(1+$A23)^DCF!$B$8:$G$8)+F$16*Forecast!$G$13/(1+$A23)^(DCF!$B$6+5))+DCF!$B$31+DCF!$B$32)/DCF!$B$34)&gt;Inputs!$B$77,Inputs!$B$76*(1-Inputs!$B$77/(((SUMPRODUCT(DCF!$B$7:$G$7/(1+$A23)^DCF!$B$8:$G$8)+F$16*Forecast!$G$13/(1+$A23)^(DCF!$B$6+5))+DCF!$B$31+DCF!$B$32)/DCF!$B$34)),0))</f>
        <v>7.23529591948608</v>
      </c>
    </row>
    <row r="26" customFormat="false" ht="15" hidden="false" customHeight="false" outlineLevel="0" collapsed="false">
      <c r="A26" s="4" t="s">
        <v>247</v>
      </c>
    </row>
    <row r="27" customFormat="false" ht="15" hidden="false" customHeight="false" outlineLevel="0" collapsed="false">
      <c r="A27" s="4" t="s">
        <v>248</v>
      </c>
      <c r="B27" s="4" t="s">
        <v>249</v>
      </c>
      <c r="C27" s="4" t="s">
        <v>250</v>
      </c>
      <c r="D27" s="4" t="s">
        <v>251</v>
      </c>
    </row>
    <row r="28" customFormat="false" ht="15" hidden="false" customHeight="false" outlineLevel="0" collapsed="false">
      <c r="A28" s="5" t="s">
        <v>252</v>
      </c>
      <c r="B28" s="9" t="n">
        <v>16308</v>
      </c>
      <c r="C28" s="16" t="n">
        <v>8.8</v>
      </c>
      <c r="D28" s="16" t="n">
        <v>4.97</v>
      </c>
    </row>
    <row r="29" customFormat="false" ht="15" hidden="false" customHeight="false" outlineLevel="0" collapsed="false">
      <c r="A29" s="5" t="s">
        <v>253</v>
      </c>
      <c r="B29" s="9" t="n">
        <v>11039</v>
      </c>
      <c r="C29" s="16" t="n">
        <v>-0.33</v>
      </c>
      <c r="D29" s="16" t="n">
        <v>-2.1</v>
      </c>
    </row>
    <row r="30" customFormat="false" ht="15" hidden="false" customHeight="false" outlineLevel="0" collapsed="false">
      <c r="A30" s="5" t="s">
        <v>254</v>
      </c>
      <c r="B30" s="9" t="n">
        <v>18899</v>
      </c>
      <c r="C30" s="16" t="n">
        <v>13.72</v>
      </c>
      <c r="D30" s="16" t="n">
        <v>8.8</v>
      </c>
    </row>
    <row r="32" customFormat="false" ht="15" hidden="false" customHeight="false" outlineLevel="0" collapsed="false">
      <c r="A32" s="5" t="s">
        <v>255</v>
      </c>
      <c r="B32" s="35" t="n">
        <f aca="false">Inputs!$B$74</f>
        <v>7.77</v>
      </c>
    </row>
    <row r="33" customFormat="false" ht="15" hidden="false" customHeight="false" outlineLevel="0" collapsed="false">
      <c r="A33" s="2"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7.35" hidden="false" customHeight="false" outlineLevel="0" collapsed="false">
      <c r="A1" s="1" t="s">
        <v>257</v>
      </c>
    </row>
    <row r="2" customFormat="false" ht="15" hidden="false" customHeight="false" outlineLevel="0" collapsed="false">
      <c r="A2" s="2" t="s">
        <v>1</v>
      </c>
    </row>
    <row r="4" customFormat="false" ht="15" hidden="false" customHeight="false" outlineLevel="0" collapsed="false">
      <c r="A4" s="7" t="s">
        <v>258</v>
      </c>
      <c r="B4" s="8" t="s">
        <v>18</v>
      </c>
    </row>
    <row r="5" customFormat="false" ht="15" hidden="false" customHeight="false" outlineLevel="0" collapsed="false">
      <c r="A5" s="5" t="n">
        <v>1</v>
      </c>
      <c r="B5" s="5" t="s">
        <v>259</v>
      </c>
    </row>
    <row r="6" customFormat="false" ht="15" hidden="false" customHeight="false" outlineLevel="0" collapsed="false">
      <c r="A6" s="5" t="n">
        <v>2</v>
      </c>
      <c r="B6" s="5" t="s">
        <v>260</v>
      </c>
    </row>
    <row r="7" customFormat="false" ht="15" hidden="false" customHeight="false" outlineLevel="0" collapsed="false">
      <c r="A7" s="5" t="n">
        <v>3</v>
      </c>
      <c r="B7" s="5" t="s">
        <v>261</v>
      </c>
    </row>
    <row r="8" customFormat="false" ht="15" hidden="false" customHeight="false" outlineLevel="0" collapsed="false">
      <c r="A8" s="5" t="n">
        <v>4</v>
      </c>
      <c r="B8" s="5" t="s">
        <v>262</v>
      </c>
    </row>
    <row r="9" customFormat="false" ht="15" hidden="false" customHeight="false" outlineLevel="0" collapsed="false">
      <c r="A9" s="5" t="n">
        <v>5</v>
      </c>
      <c r="B9" s="5" t="s">
        <v>263</v>
      </c>
    </row>
    <row r="10" customFormat="false" ht="15" hidden="false" customHeight="false" outlineLevel="0" collapsed="false">
      <c r="A10" s="5" t="n">
        <v>6</v>
      </c>
      <c r="B10" s="5" t="s">
        <v>264</v>
      </c>
    </row>
    <row r="11" customFormat="false" ht="15" hidden="false" customHeight="false" outlineLevel="0" collapsed="false">
      <c r="A11" s="5" t="n">
        <v>7</v>
      </c>
      <c r="B11" s="5" t="s">
        <v>265</v>
      </c>
    </row>
    <row r="12" customFormat="false" ht="15" hidden="false" customHeight="false" outlineLevel="0" collapsed="false">
      <c r="A12" s="5" t="n">
        <v>8</v>
      </c>
      <c r="B12" s="5" t="s">
        <v>266</v>
      </c>
    </row>
    <row r="13" customFormat="false" ht="15" hidden="false" customHeight="false" outlineLevel="0" collapsed="false">
      <c r="A13" s="5" t="n">
        <v>9</v>
      </c>
      <c r="B13" s="5" t="s">
        <v>267</v>
      </c>
    </row>
    <row r="14" customFormat="false" ht="15" hidden="false" customHeight="false" outlineLevel="0" collapsed="false">
      <c r="A14" s="5" t="n">
        <v>10</v>
      </c>
      <c r="B14" s="5" t="s">
        <v>268</v>
      </c>
    </row>
    <row r="15" customFormat="false" ht="15" hidden="false" customHeight="false" outlineLevel="0" collapsed="false">
      <c r="A15" s="5" t="n">
        <v>11</v>
      </c>
      <c r="B15" s="5" t="s">
        <v>269</v>
      </c>
    </row>
    <row r="16" customFormat="false" ht="15" hidden="false" customHeight="false" outlineLevel="0" collapsed="false">
      <c r="A16" s="5" t="n">
        <v>12</v>
      </c>
      <c r="B16" s="5" t="s">
        <v>270</v>
      </c>
    </row>
    <row r="17" customFormat="false" ht="15" hidden="false" customHeight="false" outlineLevel="0" collapsed="false">
      <c r="A17" s="5" t="n">
        <v>13</v>
      </c>
      <c r="B17" s="5" t="s">
        <v>271</v>
      </c>
    </row>
    <row r="18" customFormat="false" ht="15" hidden="false" customHeight="false" outlineLevel="0" collapsed="false">
      <c r="A18" s="5" t="n">
        <v>14</v>
      </c>
      <c r="B18" s="5" t="s">
        <v>272</v>
      </c>
    </row>
    <row r="19" customFormat="false" ht="15" hidden="false" customHeight="false" outlineLevel="0" collapsed="false">
      <c r="A19" s="5" t="n">
        <v>15</v>
      </c>
      <c r="B19" s="5" t="s">
        <v>273</v>
      </c>
    </row>
    <row r="20" customFormat="false" ht="15" hidden="false" customHeight="false" outlineLevel="0" collapsed="false">
      <c r="A20" s="5" t="n">
        <v>16</v>
      </c>
      <c r="B20" s="5" t="s">
        <v>274</v>
      </c>
    </row>
    <row r="21" customFormat="false" ht="15" hidden="false" customHeight="false" outlineLevel="0" collapsed="false">
      <c r="A21" s="5" t="n">
        <v>17</v>
      </c>
      <c r="B21" s="5" t="s">
        <v>275</v>
      </c>
    </row>
    <row r="22" customFormat="false" ht="15" hidden="false" customHeight="false" outlineLevel="0" collapsed="false">
      <c r="A22" s="5" t="n">
        <v>18</v>
      </c>
      <c r="B22" s="5" t="s">
        <v>276</v>
      </c>
    </row>
    <row r="24" customFormat="false" ht="15" hidden="false" customHeight="false" outlineLevel="0" collapsed="false">
      <c r="A24" s="5"/>
      <c r="B24" s="2"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2026-10-24T21:52:00Z</dcterms:created>
  <dc:creator>openpyxl</dc:creator>
  <dc:description/>
  <dc:language>en-US</dc:language>
  <cp:lastModifiedBy/>
  <dcterms:modified xsi:type="dcterms:W3CDTF">2026-10-24T21:52:00Z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