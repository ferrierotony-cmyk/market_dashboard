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Historical" sheetId="3" state="visible" r:id="rId5"/>
    <sheet name="Forecast" sheetId="4" state="visible" r:id="rId6"/>
    <sheet name="WACC" sheetId="5" state="visible" r:id="rId7"/>
    <sheet name="DCF" sheetId="6" state="visible" r:id="rId8"/>
    <sheet name="Sensitivity" sheetId="7" state="visible" r:id="rId9"/>
    <sheet name="Sourc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<sst xmlns="http://schemas.openxmlformats.org/spreadsheetml/2006/main" count="290" uniqueCount="239">
  <si>
    <t xml:space="preserve">The Walt Disney Company DCF: read me first</t>
  </si>
  <si>
    <t xml:space="preserve">The Walt Disney Company (NYSE: DIS). USD millions unless labelled. Blue = input, black = formula, green = link to another sheet. Same template as the Skydance model.</t>
  </si>
  <si>
    <t xml:space="preserve">What this is: a discounted cash flow model of Disney on the same template as the Skydance model. Disney's fiscal year ends around October 3, so the forecast runs FY2027 to FY2032 and the first year is almost a full year from the October 24, 2026 valuation date.</t>
  </si>
  <si>
    <t xml:space="preserve">FY2026 results are not reported until November 17, 2026. The base year is nine months actual plus the company's Q4 guidance, labelled as an estimate.</t>
  </si>
  <si>
    <t xml:space="preserve">EBITDA is total segment operating income plus depreciation and amortization. Corporate costs are inside segment operating income as Disney reports it.</t>
  </si>
  <si>
    <t xml:space="preserve">Use: change blue cells on Inputs. Scenario switch in Inputs!C5. Not a recommendation.</t>
  </si>
  <si>
    <t xml:space="preserve">Biggest judgments: how fast linear television shrinks inside Entertainment, whether Experiences keeps growing high single digits through the cruise ship build, and capex coming down after the ships.</t>
  </si>
  <si>
    <t xml:space="preserve">Inputs and scenarios</t>
  </si>
  <si>
    <t xml:space="preserve">Scenario selector</t>
  </si>
  <si>
    <t xml:space="preserve">Active scenario (1 Base, 2 Bear, 3 Bull)</t>
  </si>
  <si>
    <t xml:space="preserve">Active scenario name</t>
  </si>
  <si>
    <t xml:space="preserve">Base year FY2026E (USD m)</t>
  </si>
  <si>
    <t xml:space="preserve">Value</t>
  </si>
  <si>
    <t xml:space="preserve">Source</t>
  </si>
  <si>
    <t xml:space="preserve">Revenue FY2026E</t>
  </si>
  <si>
    <t xml:space="preserve">Estimate: 9M FY2026 76,397 [1] plus a Q4 in line with the prior year plus the 53rd week</t>
  </si>
  <si>
    <t xml:space="preserve">Total segment operating income FY2026E</t>
  </si>
  <si>
    <t xml:space="preserve">Derived: 9M 14,758 plus Q4 guidance of about 4,900 [1]</t>
  </si>
  <si>
    <t xml:space="preserve">D and A FY2025</t>
  </si>
  <si>
    <t xml:space="preserve">[2]</t>
  </si>
  <si>
    <t xml:space="preserve">Adjusted EBITDA FY2026E, segment OI plus D and A</t>
  </si>
  <si>
    <t xml:space="preserve">Derived</t>
  </si>
  <si>
    <t xml:space="preserve">Capex FY2026 guidance</t>
  </si>
  <si>
    <t xml:space="preserve">[1][4]</t>
  </si>
  <si>
    <t xml:space="preserve">Free cash flow FY2025</t>
  </si>
  <si>
    <t xml:space="preserve">Revenue build, FY2027E (USD m)</t>
  </si>
  <si>
    <t xml:space="preserve">Entertainment</t>
  </si>
  <si>
    <t xml:space="preserve">FY2025 42,466 [2], 9M FY2026 34,669 up 7 percent [1]. FY2027E analyst estimate.</t>
  </si>
  <si>
    <t xml:space="preserve">Sports</t>
  </si>
  <si>
    <t xml:space="preserve">FY2025 17,672 [2], ESPN DTC launched August 2025. Analyst estimate.</t>
  </si>
  <si>
    <t xml:space="preserve">Experiences</t>
  </si>
  <si>
    <t xml:space="preserve">FY2025 36,156 [2], two new ships added about 50 percent cruise capacity. Analyst estimate.</t>
  </si>
  <si>
    <t xml:space="preserve">Total FY2027E revenue</t>
  </si>
  <si>
    <t xml:space="preserve">Check: Street FY2027 revenue consensus about 105,430 [7]</t>
  </si>
  <si>
    <t xml:space="preserve">Drivers by scenario</t>
  </si>
  <si>
    <t xml:space="preserve">FY2027E</t>
  </si>
  <si>
    <t xml:space="preserve">FY2028E</t>
  </si>
  <si>
    <t xml:space="preserve">FY2029E</t>
  </si>
  <si>
    <t xml:space="preserve">FY2030E</t>
  </si>
  <si>
    <t xml:space="preserve">FY2031E</t>
  </si>
  <si>
    <t xml:space="preserve">FY2032E</t>
  </si>
  <si>
    <t xml:space="preserve">Note</t>
  </si>
  <si>
    <t xml:space="preserve">Entertainment growth: Base</t>
  </si>
  <si>
    <t xml:space="preserve">DTC growth against linear decline. Linear was 2,955 of 4,674 Entertainment OI in FY2025 [2].</t>
  </si>
  <si>
    <t xml:space="preserve">Entertainment growth: Bear</t>
  </si>
  <si>
    <t xml:space="preserve">Entertainment growth: Bull</t>
  </si>
  <si>
    <t xml:space="preserve">Entertainment growth: ACTIVE</t>
  </si>
  <si>
    <t xml:space="preserve">Sports growth: Base</t>
  </si>
  <si>
    <t xml:space="preserve">Rights costs step up; ESPN DTC pricing offsets. Mid single digit OI growth guided for FY2026 [1].</t>
  </si>
  <si>
    <t xml:space="preserve">Sports growth: Bear</t>
  </si>
  <si>
    <t xml:space="preserve">Sports growth: Bull</t>
  </si>
  <si>
    <t xml:space="preserve">Sports growth: ACTIVE</t>
  </si>
  <si>
    <t xml:space="preserve">Experiences growth: Base</t>
  </si>
  <si>
    <t xml:space="preserve">High end of high single digit OI growth guided for FY2026 [1]; cruise capacity up about 50 percent.</t>
  </si>
  <si>
    <t xml:space="preserve">Experiences growth: Bear</t>
  </si>
  <si>
    <t xml:space="preserve">Experiences growth: Bull</t>
  </si>
  <si>
    <t xml:space="preserve">Experiences growth: ACTIVE</t>
  </si>
  <si>
    <t xml:space="preserve">Underlying EBITDA margin: Base</t>
  </si>
  <si>
    <t xml:space="preserve">FY2026E EBITDA of about 25,150 on about 101,000 of revenue is 24.9 percent. Base drifts up a little as DTC scales.</t>
  </si>
  <si>
    <t xml:space="preserve">Underlying EBITDA margin: Bear</t>
  </si>
  <si>
    <t xml:space="preserve">Underlying EBITDA margin: Bull</t>
  </si>
  <si>
    <t xml:space="preserve">Underlying EBITDA margin: ACTIVE</t>
  </si>
  <si>
    <t xml:space="preserve">Other EBITDA items: Base</t>
  </si>
  <si>
    <t xml:space="preserve">No synergy line. Cost programs are inside the margin.</t>
  </si>
  <si>
    <t xml:space="preserve">Other EBITDA items: Bear</t>
  </si>
  <si>
    <t xml:space="preserve">Other EBITDA items: Bull</t>
  </si>
  <si>
    <t xml:space="preserve">Other EBITDA items: ACTIVE</t>
  </si>
  <si>
    <t xml:space="preserve">Stock based compensation: Base</t>
  </si>
  <si>
    <t xml:space="preserve">SBC 1,363 in FY2025 [2].</t>
  </si>
  <si>
    <t xml:space="preserve">Stock based compensation: Bear</t>
  </si>
  <si>
    <t xml:space="preserve">Stock based compensation: Bull</t>
  </si>
  <si>
    <t xml:space="preserve">Stock based compensation: ACTIVE</t>
  </si>
  <si>
    <t xml:space="preserve">Cash restructuring and one offs: Base</t>
  </si>
  <si>
    <t xml:space="preserve">Restructuring and Hulu integration. Analyst estimate.</t>
  </si>
  <si>
    <t xml:space="preserve">Cash restructuring and one offs: Bear</t>
  </si>
  <si>
    <t xml:space="preserve">Cash restructuring and one offs: Bull</t>
  </si>
  <si>
    <t xml:space="preserve">Cash restructuring and one offs: ACTIVE</t>
  </si>
  <si>
    <t xml:space="preserve">Capex as percent of revenue: Base</t>
  </si>
  <si>
    <t xml:space="preserve">Capex about 9,000 on about 101,000 in FY2026 [1][4], falling as the cruise ships deliver.</t>
  </si>
  <si>
    <t xml:space="preserve">Capex as percent of revenue: Bear</t>
  </si>
  <si>
    <t xml:space="preserve">Capex as percent of revenue: Bull</t>
  </si>
  <si>
    <t xml:space="preserve">Capex as percent of revenue: ACTIVE</t>
  </si>
  <si>
    <t xml:space="preserve">Working capital and content investment, percent of revenue: Base</t>
  </si>
  <si>
    <t xml:space="preserve">Content spend is expensed through segment OI. Small working capital drag. Analyst input.</t>
  </si>
  <si>
    <t xml:space="preserve">Working capital and content investment, percent of revenue: Bear</t>
  </si>
  <si>
    <t xml:space="preserve">Working capital and content investment, percent of revenue: Bull</t>
  </si>
  <si>
    <t xml:space="preserve">Working capital and content investment, percent of revenue: ACTIVE</t>
  </si>
  <si>
    <t xml:space="preserve">Tax D and A: Base</t>
  </si>
  <si>
    <t xml:space="preserve">D and A 5,326 in FY2025 [2], growing with the ships.</t>
  </si>
  <si>
    <t xml:space="preserve">Tax D and A: Bear</t>
  </si>
  <si>
    <t xml:space="preserve">Tax D and A: Bull</t>
  </si>
  <si>
    <t xml:space="preserve">Tax D and A: ACTIVE</t>
  </si>
  <si>
    <t xml:space="preserve">Valuation and market inputs</t>
  </si>
  <si>
    <t xml:space="preserve">Share price ($)</t>
  </si>
  <si>
    <t xml:space="preserve">Google Finance, October 16, 2026. No October 23 close was retrievable; flagged [7].</t>
  </si>
  <si>
    <t xml:space="preserve">Shares outstanding (millions)</t>
  </si>
  <si>
    <t xml:space="preserve">10-Q cover, 1,726.7 million at July 29, 2026 [3]</t>
  </si>
  <si>
    <t xml:space="preserve">Gross debt</t>
  </si>
  <si>
    <t xml:space="preserve">June 27, 2026, current plus long term borrowings [1]</t>
  </si>
  <si>
    <t xml:space="preserve">Cash</t>
  </si>
  <si>
    <t xml:space="preserve">June 27, 2026 [1]</t>
  </si>
  <si>
    <t xml:space="preserve">Noncontrolling interests and other claims</t>
  </si>
  <si>
    <t xml:space="preserve">Noncontrolling interests at June 27, 2026, up on the Fubo and NFL deals [1]</t>
  </si>
  <si>
    <t xml:space="preserve">Stub fraction of first forecast year remaining</t>
  </si>
  <si>
    <t xml:space="preserve">October 24, 2026 to about October 2, 2027</t>
  </si>
  <si>
    <t xml:space="preserve">Long term growth rate</t>
  </si>
  <si>
    <t xml:space="preserve">Analyst input, between Skydance and Netflix.</t>
  </si>
  <si>
    <t xml:space="preserve">Exit multiple, EV to EBITDA</t>
  </si>
  <si>
    <t xml:space="preserve">Diversified media with parks. Analyst input.</t>
  </si>
  <si>
    <t xml:space="preserve">Cash tax rate</t>
  </si>
  <si>
    <t xml:space="preserve">Same 23 percent in all five models. Statutory 21 federal plus state; company effective rates in the research file.</t>
  </si>
  <si>
    <t xml:space="preserve">Historical results</t>
  </si>
  <si>
    <t xml:space="preserve">USD millions</t>
  </si>
  <si>
    <t xml:space="preserve">FY2024</t>
  </si>
  <si>
    <t xml:space="preserve">FY2025</t>
  </si>
  <si>
    <t xml:space="preserve">9M FY2026</t>
  </si>
  <si>
    <t xml:space="preserve">Revenue</t>
  </si>
  <si>
    <t xml:space="preserve">[2][1]</t>
  </si>
  <si>
    <t xml:space="preserve">Entertainment revenue</t>
  </si>
  <si>
    <t xml:space="preserve">Sports revenue</t>
  </si>
  <si>
    <t xml:space="preserve">Experiences revenue</t>
  </si>
  <si>
    <t xml:space="preserve">Total segment operating income</t>
  </si>
  <si>
    <t xml:space="preserve">Entertainment operating income</t>
  </si>
  <si>
    <t xml:space="preserve">Sports operating income</t>
  </si>
  <si>
    <t xml:space="preserve">Experiences operating income</t>
  </si>
  <si>
    <t xml:space="preserve">Depreciation and amortization</t>
  </si>
  <si>
    <t xml:space="preserve">Stock based compensation</t>
  </si>
  <si>
    <t xml:space="preserve">Capital expenditures</t>
  </si>
  <si>
    <t xml:space="preserve">Free cash flow</t>
  </si>
  <si>
    <t xml:space="preserve">Net debt, period end</t>
  </si>
  <si>
    <t xml:space="preserve">derived [1][2]</t>
  </si>
  <si>
    <t xml:space="preserve">FY2025 book tax is a net benefit because of a roughly 3,277 Hulu related tax benefit, so the reported rate is not usable [2]. FY2024 derived rate 23.7 percent.</t>
  </si>
  <si>
    <t xml:space="preserve">Forecast</t>
  </si>
  <si>
    <t xml:space="preserve">Total revenue</t>
  </si>
  <si>
    <t xml:space="preserve">Revenue growth</t>
  </si>
  <si>
    <t xml:space="preserve">Underlying EBITDA before other items</t>
  </si>
  <si>
    <t xml:space="preserve">Other EBITDA items (synergies, cost programs)</t>
  </si>
  <si>
    <t xml:space="preserve">Adjusted EBITDA</t>
  </si>
  <si>
    <t xml:space="preserve">Adjusted EBITDA margin</t>
  </si>
  <si>
    <t xml:space="preserve">Less stock based compensation</t>
  </si>
  <si>
    <t xml:space="preserve">Less cash restructuring and integration</t>
  </si>
  <si>
    <t xml:space="preserve">EBITDA after stock comp and one offs</t>
  </si>
  <si>
    <t xml:space="preserve">Less tax depreciation and amortization</t>
  </si>
  <si>
    <t xml:space="preserve">Taxable operating profit</t>
  </si>
  <si>
    <t xml:space="preserve">Cash taxes</t>
  </si>
  <si>
    <t xml:space="preserve">Less capital expenditures</t>
  </si>
  <si>
    <t xml:space="preserve">Less working capital and content investment</t>
  </si>
  <si>
    <t xml:space="preserve">Unlevered free cash flow</t>
  </si>
  <si>
    <t xml:space="preserve">Conversion, unlevered FCF over adjusted EBITDA</t>
  </si>
  <si>
    <t xml:space="preserve">FY2026 guidance: cash from operations at least 19,000, capex about 9,000, so FCF at least about 10,000 after interest [1].</t>
  </si>
  <si>
    <t xml:space="preserve">Cost of capital</t>
  </si>
  <si>
    <t xml:space="preserve">Input or step</t>
  </si>
  <si>
    <t xml:space="preserve">Basis</t>
  </si>
  <si>
    <t xml:space="preserve">Risk free rate, 10 year Treasury, October 22, 2026</t>
  </si>
  <si>
    <t xml:space="preserve">Mortgage News Daily, 4.954 percent on October 22, 2026. Same in all five models.</t>
  </si>
  <si>
    <t xml:space="preserve">Equity risk premium</t>
  </si>
  <si>
    <t xml:space="preserve">Analyst input, 4.5 percent in all five models.</t>
  </si>
  <si>
    <t xml:space="preserve">Unlevered beta</t>
  </si>
  <si>
    <t xml:space="preserve">Quoted beta 1.41 [7] at 0.2 debt to equity unlevers to about 1.2. I use 1.05 so Disney sits between Skydance at 0.9 and Netflix at 1.2, which is where a parks and media mix belongs. Analyst input.</t>
  </si>
  <si>
    <t xml:space="preserve">Market value of equity</t>
  </si>
  <si>
    <t xml:space="preserve">Price times shares</t>
  </si>
  <si>
    <t xml:space="preserve">Net debt</t>
  </si>
  <si>
    <t xml:space="preserve">Latest balance sheet</t>
  </si>
  <si>
    <t xml:space="preserve">Debt to equity</t>
  </si>
  <si>
    <t xml:space="preserve">Tax rate</t>
  </si>
  <si>
    <t xml:space="preserve">Levered beta</t>
  </si>
  <si>
    <t xml:space="preserve">Hamada relevering</t>
  </si>
  <si>
    <t xml:space="preserve">Cost of equity</t>
  </si>
  <si>
    <t xml:space="preserve">CAPM</t>
  </si>
  <si>
    <t xml:space="preserve">Pre tax cost of debt</t>
  </si>
  <si>
    <t xml:space="preserve">S&amp;P A rated [8]. Recent single A media issuance around 5 percent. Analyst input.</t>
  </si>
  <si>
    <t xml:space="preserve">After tax cost of debt</t>
  </si>
  <si>
    <t xml:space="preserve">Weight of equity</t>
  </si>
  <si>
    <t xml:space="preserve">Market weights at the latest close</t>
  </si>
  <si>
    <t xml:space="preserve">Weight of debt</t>
  </si>
  <si>
    <t xml:space="preserve">WACC</t>
  </si>
  <si>
    <t xml:space="preserve">Net cash companies: when net debt is below zero the debt weight is zero and the WACC equals the cost of equity on the equity weight above 100 percent; the formulas handle that but read the weights.</t>
  </si>
  <si>
    <t xml:space="preserve">Discounted cash flow</t>
  </si>
  <si>
    <t xml:space="preserve">Fraction of year included</t>
  </si>
  <si>
    <t xml:space="preserve">Cash flow included</t>
  </si>
  <si>
    <t xml:space="preserve">Discount period, years from valuation date, mid year</t>
  </si>
  <si>
    <t xml:space="preserve">Discount factor</t>
  </si>
  <si>
    <t xml:space="preserve">Present value</t>
  </si>
  <si>
    <t xml:space="preserve">Terminal value, perpetuity growth method</t>
  </si>
  <si>
    <t xml:space="preserve">Long term growth</t>
  </si>
  <si>
    <t xml:space="preserve">Terminal year cash flow, grown one year</t>
  </si>
  <si>
    <t xml:space="preserve">Terminal value at end of forecast</t>
  </si>
  <si>
    <t xml:space="preserve">Discount factor, end of forecast</t>
  </si>
  <si>
    <t xml:space="preserve">Present value of terminal value</t>
  </si>
  <si>
    <t xml:space="preserve">Implied exit multiple of final year EBITDA</t>
  </si>
  <si>
    <t xml:space="preserve">Terminal value, exit multiple method</t>
  </si>
  <si>
    <t xml:space="preserve">Exit multiple</t>
  </si>
  <si>
    <t xml:space="preserve">Implied perpetuity growth</t>
  </si>
  <si>
    <t xml:space="preserve">Enterprise value and bridge to equity</t>
  </si>
  <si>
    <t xml:space="preserve">Perpetuity</t>
  </si>
  <si>
    <t xml:space="preserve">Sum of present value of forecast cash flows</t>
  </si>
  <si>
    <t xml:space="preserve">Enterprise value</t>
  </si>
  <si>
    <t xml:space="preserve">Terminal value share of enterprise value</t>
  </si>
  <si>
    <t xml:space="preserve">Less net debt</t>
  </si>
  <si>
    <t xml:space="preserve">Less noncontrolling interests and other claims</t>
  </si>
  <si>
    <t xml:space="preserve">Equity value</t>
  </si>
  <si>
    <t xml:space="preserve">Shares outstanding, millions</t>
  </si>
  <si>
    <t xml:space="preserve">Implied value per share</t>
  </si>
  <si>
    <t xml:space="preserve">Model output under stated assumptions, not a recommendation.</t>
  </si>
  <si>
    <t xml:space="preserve">Market price</t>
  </si>
  <si>
    <t xml:space="preserve">Model value over market price</t>
  </si>
  <si>
    <t xml:space="preserve">Market enterprise value for reference</t>
  </si>
  <si>
    <t xml:space="preserve">Market EV to FY2027E adjusted EBITDA</t>
  </si>
  <si>
    <t xml:space="preserve">Model EV to FY2027E adjusted EBITDA</t>
  </si>
  <si>
    <t xml:space="preserve">Sensitivity of implied value per share</t>
  </si>
  <si>
    <t xml:space="preserve">Perpetuity growth method: WACC down, long term growth across. Value per share, $.</t>
  </si>
  <si>
    <t xml:space="preserve">WACC \ growth</t>
  </si>
  <si>
    <t xml:space="preserve">Exit multiple method: WACC down, exit EV to EBITDA across. Value per share, $.</t>
  </si>
  <si>
    <t xml:space="preserve">WACC \ multiple</t>
  </si>
  <si>
    <t xml:space="preserve">Scenario summary, values as built. Change Inputs!C5 to see each scenario live.</t>
  </si>
  <si>
    <t xml:space="preserve">Scenario</t>
  </si>
  <si>
    <t xml:space="preserve">FY2032E EBITDA</t>
  </si>
  <si>
    <t xml:space="preserve">$ per share, perpetuity</t>
  </si>
  <si>
    <t xml:space="preserve">$ per share, exit</t>
  </si>
  <si>
    <t xml:space="preserve">Base</t>
  </si>
  <si>
    <t xml:space="preserve">Bear</t>
  </si>
  <si>
    <t xml:space="preserve">Bull</t>
  </si>
  <si>
    <t xml:space="preserve">Market price for reference</t>
  </si>
  <si>
    <t xml:space="preserve">Street price targets, context only: average 126.30, range 111 to 164 [7].</t>
  </si>
  <si>
    <t xml:space="preserve">Sources</t>
  </si>
  <si>
    <t xml:space="preserve">#</t>
  </si>
  <si>
    <t xml:space="preserve">Disney Q3 FY2026 earnings release and 10-Q, quarter ended June 27, 2026. sec.gov</t>
  </si>
  <si>
    <t xml:space="preserve">Disney Q4 and full year FY2025 earnings release, November 2025. thewaltdisneycompany.com</t>
  </si>
  <si>
    <t xml:space="preserve">Disney Form 10-Q cover, shares outstanding at July 29, 2026. sec.gov</t>
  </si>
  <si>
    <t xml:space="preserve">Disney FY2026 guidance commentary, Q3 FY2026 call, August 2026.</t>
  </si>
  <si>
    <t xml:space="preserve">Disney investor materials on cruise capacity and Experiences outlook.</t>
  </si>
  <si>
    <t xml:space="preserve">Disney Form 10-K for fiscal 2025. sec.gov</t>
  </si>
  <si>
    <t xml:space="preserve">Google Finance and TickFlow, DIS quote, statistics and consensus, October 2026.</t>
  </si>
  <si>
    <t xml:space="preserve">S&amp;P Global Ratings, Disney upgraded to A, December 2024.</t>
  </si>
  <si>
    <t xml:space="preserve">Press coverage of the ESPN DTC launch, August 2025.</t>
  </si>
  <si>
    <t xml:space="preserve">Press coverage of the CEO transition, 2026.</t>
  </si>
  <si>
    <t xml:space="preserve">Mortgage News Daily, 10 year Treasury yield through October 22, 2026.</t>
  </si>
  <si>
    <t xml:space="preserve">Disney Hulu appraisal settlement disclosure, June 2025.</t>
  </si>
  <si>
    <t xml:space="preserve">Analyst inputs with no source are labelled as such on the Inputs and WACC sheets. Nothing in this workbook comes from a Bloomberg Terminal or from any employer.</t>
  </si>
</sst>
</file>

<file path=xl/styles.xml><?xml version="1.0" encoding="utf-8"?>
<styleSheet xmlns="http://schemas.openxmlformats.org/spreadsheetml/2006/main">
  <numFmts count="7">
    <numFmt numFmtId="164" formatCode="General"/>
    <numFmt numFmtId="165" formatCode="#,##0;\(#,##0\);\-"/>
    <numFmt numFmtId="166" formatCode="0.0%;\(0.0%\);\-"/>
    <numFmt numFmtId="167" formatCode="\$#,##0.00;&quot;($&quot;#,##0.00\);\-"/>
    <numFmt numFmtId="168" formatCode="0.0\x"/>
    <numFmt numFmtId="169" formatCode="0.00"/>
    <numFmt numFmtId="170" formatCode="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name val="Arial"/>
      <family val="0"/>
      <charset val="1"/>
    </font>
    <font>
      <sz val="10"/>
      <color rgb="FF0000FF"/>
      <name val="Arial"/>
      <family val="0"/>
      <charset val="1"/>
    </font>
    <font>
      <b val="true"/>
      <sz val="11"/>
      <color rgb="FFFFFFFF"/>
      <name val="Arial"/>
      <family val="0"/>
      <charset val="1"/>
    </font>
    <font>
      <sz val="9"/>
      <color rgb="FF595959"/>
      <name val="Arial"/>
      <family val="0"/>
      <charset val="1"/>
    </font>
    <font>
      <sz val="10"/>
      <color rgb="FF008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0A1628"/>
        <bgColor rgb="FF000000"/>
      </patternFill>
    </fill>
    <fill>
      <patternFill patternType="solid">
        <fgColor rgb="FFF2F2F2"/>
        <bgColor rgb="FFFFFFFF"/>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left"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7" fontId="6" fillId="2" borderId="1" xfId="0" applyFont="true" applyBorder="tru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A1628"/>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41.75" hidden="false" customHeight="false" outlineLevel="0" collapsed="false">
      <c r="A4" s="3" t="s">
        <v>2</v>
      </c>
    </row>
    <row r="5" customFormat="false" ht="28.35" hidden="false" customHeight="false" outlineLevel="0" collapsed="false">
      <c r="A5" s="3" t="s">
        <v>3</v>
      </c>
    </row>
    <row r="6" customFormat="false" ht="28.35" hidden="false" customHeight="false" outlineLevel="0" collapsed="false">
      <c r="A6" s="3" t="s">
        <v>4</v>
      </c>
    </row>
    <row r="7" customFormat="false" ht="15" hidden="false" customHeight="false" outlineLevel="0" collapsed="false">
      <c r="A7" s="3" t="s">
        <v>5</v>
      </c>
    </row>
    <row r="8" customFormat="false" ht="28.35" hidden="false" customHeight="false" outlineLevel="0" collapsed="false">
      <c r="A8" s="3"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8" min="2" style="0" width="12"/>
    <col collapsed="false" customWidth="true" hidden="false" outlineLevel="0" max="9" min="9" style="0" width="60"/>
  </cols>
  <sheetData>
    <row r="1" customFormat="false" ht="17.35" hidden="false" customHeight="false" outlineLevel="0" collapsed="false">
      <c r="A1" s="1" t="s">
        <v>7</v>
      </c>
    </row>
    <row r="2" customFormat="false" ht="15" hidden="false" customHeight="false" outlineLevel="0" collapsed="false">
      <c r="A2" s="2" t="s">
        <v>1</v>
      </c>
    </row>
    <row r="4" customFormat="false" ht="15" hidden="false" customHeight="false" outlineLevel="0" collapsed="false">
      <c r="A4" s="4" t="s">
        <v>8</v>
      </c>
    </row>
    <row r="5" customFormat="false" ht="15" hidden="false" customHeight="false" outlineLevel="0" collapsed="false">
      <c r="A5" s="5" t="s">
        <v>9</v>
      </c>
      <c r="C5" s="6" t="n">
        <v>1</v>
      </c>
    </row>
    <row r="6" customFormat="false" ht="15" hidden="false" customHeight="false" outlineLevel="0" collapsed="false">
      <c r="A6" s="5" t="s">
        <v>10</v>
      </c>
      <c r="C6" s="5" t="str">
        <f aca="false">CHOOSE(C5,"Base","Bear","Bull")</f>
        <v>Base</v>
      </c>
    </row>
    <row r="8" customFormat="false" ht="15" hidden="false" customHeight="false" outlineLevel="0" collapsed="false">
      <c r="A8" s="7" t="s">
        <v>11</v>
      </c>
      <c r="B8" s="8" t="s">
        <v>12</v>
      </c>
      <c r="C8" s="8"/>
      <c r="D8" s="8"/>
      <c r="E8" s="8"/>
      <c r="F8" s="8"/>
      <c r="G8" s="8"/>
      <c r="H8" s="8"/>
      <c r="I8" s="8" t="s">
        <v>13</v>
      </c>
    </row>
    <row r="9" customFormat="false" ht="15" hidden="false" customHeight="false" outlineLevel="0" collapsed="false">
      <c r="A9" s="5" t="s">
        <v>14</v>
      </c>
      <c r="B9" s="9" t="n">
        <v>101000</v>
      </c>
      <c r="I9" s="10" t="s">
        <v>15</v>
      </c>
    </row>
    <row r="10" customFormat="false" ht="15" hidden="false" customHeight="false" outlineLevel="0" collapsed="false">
      <c r="A10" s="5" t="s">
        <v>16</v>
      </c>
      <c r="B10" s="9" t="n">
        <v>19650</v>
      </c>
      <c r="I10" s="10" t="s">
        <v>17</v>
      </c>
    </row>
    <row r="11" customFormat="false" ht="15" hidden="false" customHeight="false" outlineLevel="0" collapsed="false">
      <c r="A11" s="5" t="s">
        <v>18</v>
      </c>
      <c r="B11" s="9" t="n">
        <v>5326</v>
      </c>
      <c r="I11" s="10" t="s">
        <v>19</v>
      </c>
    </row>
    <row r="12" customFormat="false" ht="15" hidden="false" customHeight="false" outlineLevel="0" collapsed="false">
      <c r="A12" s="5" t="s">
        <v>20</v>
      </c>
      <c r="B12" s="9" t="n">
        <v>25150</v>
      </c>
      <c r="I12" s="10" t="s">
        <v>21</v>
      </c>
    </row>
    <row r="13" customFormat="false" ht="15" hidden="false" customHeight="false" outlineLevel="0" collapsed="false">
      <c r="A13" s="5" t="s">
        <v>22</v>
      </c>
      <c r="B13" s="9" t="n">
        <v>9000</v>
      </c>
      <c r="I13" s="10" t="s">
        <v>23</v>
      </c>
    </row>
    <row r="14" customFormat="false" ht="15" hidden="false" customHeight="false" outlineLevel="0" collapsed="false">
      <c r="A14" s="5" t="s">
        <v>24</v>
      </c>
      <c r="B14" s="9" t="n">
        <v>10077</v>
      </c>
      <c r="I14" s="10" t="s">
        <v>19</v>
      </c>
    </row>
    <row r="16" customFormat="false" ht="15" hidden="false" customHeight="false" outlineLevel="0" collapsed="false">
      <c r="A16" s="7" t="s">
        <v>25</v>
      </c>
      <c r="B16" s="8" t="s">
        <v>12</v>
      </c>
      <c r="C16" s="8"/>
      <c r="D16" s="8"/>
      <c r="E16" s="8"/>
      <c r="F16" s="8"/>
      <c r="G16" s="8"/>
      <c r="H16" s="8"/>
      <c r="I16" s="8" t="s">
        <v>13</v>
      </c>
    </row>
    <row r="17" customFormat="false" ht="15" hidden="false" customHeight="false" outlineLevel="0" collapsed="false">
      <c r="A17" s="5" t="s">
        <v>26</v>
      </c>
      <c r="B17" s="9" t="n">
        <v>48000</v>
      </c>
      <c r="I17" s="10" t="s">
        <v>27</v>
      </c>
    </row>
    <row r="18" customFormat="false" ht="15" hidden="false" customHeight="false" outlineLevel="0" collapsed="false">
      <c r="A18" s="5" t="s">
        <v>28</v>
      </c>
      <c r="B18" s="9" t="n">
        <v>18500</v>
      </c>
      <c r="I18" s="10" t="s">
        <v>29</v>
      </c>
    </row>
    <row r="19" customFormat="false" ht="15" hidden="false" customHeight="false" outlineLevel="0" collapsed="false">
      <c r="A19" s="5" t="s">
        <v>30</v>
      </c>
      <c r="B19" s="9" t="n">
        <v>39000</v>
      </c>
      <c r="I19" s="10" t="s">
        <v>31</v>
      </c>
    </row>
    <row r="20" customFormat="false" ht="15" hidden="false" customHeight="false" outlineLevel="0" collapsed="false">
      <c r="A20" s="5" t="s">
        <v>32</v>
      </c>
      <c r="B20" s="11" t="n">
        <f aca="false">SUM(B17:B19)</f>
        <v>105500</v>
      </c>
      <c r="I20" s="10" t="s">
        <v>33</v>
      </c>
    </row>
    <row r="22" customFormat="false" ht="15" hidden="false" customHeight="false" outlineLevel="0" collapsed="false">
      <c r="A22" s="7" t="s">
        <v>34</v>
      </c>
      <c r="B22" s="8" t="s">
        <v>35</v>
      </c>
      <c r="C22" s="8" t="s">
        <v>36</v>
      </c>
      <c r="D22" s="8" t="s">
        <v>37</v>
      </c>
      <c r="E22" s="8" t="s">
        <v>38</v>
      </c>
      <c r="F22" s="8" t="s">
        <v>39</v>
      </c>
      <c r="G22" s="8" t="s">
        <v>40</v>
      </c>
      <c r="H22" s="8"/>
      <c r="I22" s="8"/>
      <c r="J22" s="8" t="s">
        <v>41</v>
      </c>
    </row>
    <row r="23" customFormat="false" ht="15" hidden="false" customHeight="false" outlineLevel="0" collapsed="false">
      <c r="A23" s="5" t="s">
        <v>42</v>
      </c>
      <c r="B23" s="12" t="n">
        <v>0.03</v>
      </c>
      <c r="C23" s="12" t="n">
        <v>0.03</v>
      </c>
      <c r="D23" s="12" t="n">
        <v>0.02</v>
      </c>
      <c r="E23" s="12" t="n">
        <v>0.02</v>
      </c>
      <c r="F23" s="12" t="n">
        <v>0.02</v>
      </c>
      <c r="G23" s="12" t="n">
        <v>0.02</v>
      </c>
      <c r="I23" s="10" t="s">
        <v>43</v>
      </c>
    </row>
    <row r="24" customFormat="false" ht="15" hidden="false" customHeight="false" outlineLevel="0" collapsed="false">
      <c r="A24" s="5" t="s">
        <v>44</v>
      </c>
      <c r="B24" s="12" t="n">
        <v>0</v>
      </c>
      <c r="C24" s="12" t="n">
        <v>-0.01</v>
      </c>
      <c r="D24" s="12" t="n">
        <v>-0.01</v>
      </c>
      <c r="E24" s="12" t="n">
        <v>-0.01</v>
      </c>
      <c r="F24" s="12" t="n">
        <v>-0.01</v>
      </c>
      <c r="G24" s="12" t="n">
        <v>-0.01</v>
      </c>
    </row>
    <row r="25" customFormat="false" ht="15" hidden="false" customHeight="false" outlineLevel="0" collapsed="false">
      <c r="A25" s="5" t="s">
        <v>45</v>
      </c>
      <c r="B25" s="12" t="n">
        <v>0.05</v>
      </c>
      <c r="C25" s="12" t="n">
        <v>0.05</v>
      </c>
      <c r="D25" s="12" t="n">
        <v>0.04</v>
      </c>
      <c r="E25" s="12" t="n">
        <v>0.04</v>
      </c>
      <c r="F25" s="12" t="n">
        <v>0.03</v>
      </c>
      <c r="G25" s="12" t="n">
        <v>0.03</v>
      </c>
    </row>
    <row r="26" customFormat="false" ht="15" hidden="false" customHeight="false" outlineLevel="0" collapsed="false">
      <c r="A26" s="4" t="s">
        <v>46</v>
      </c>
      <c r="B26" s="13" t="n">
        <f aca="false">CHOOSE($C$5,B23,B24,B25)</f>
        <v>0.03</v>
      </c>
      <c r="C26" s="13" t="n">
        <f aca="false">CHOOSE($C$5,C23,C24,C25)</f>
        <v>0.03</v>
      </c>
      <c r="D26" s="13" t="n">
        <f aca="false">CHOOSE($C$5,D23,D24,D25)</f>
        <v>0.02</v>
      </c>
      <c r="E26" s="13" t="n">
        <f aca="false">CHOOSE($C$5,E23,E24,E25)</f>
        <v>0.02</v>
      </c>
      <c r="F26" s="13" t="n">
        <f aca="false">CHOOSE($C$5,F23,F24,F25)</f>
        <v>0.02</v>
      </c>
      <c r="G26" s="13" t="n">
        <f aca="false">CHOOSE($C$5,G23,G24,G25)</f>
        <v>0.02</v>
      </c>
    </row>
    <row r="28" customFormat="false" ht="15" hidden="false" customHeight="false" outlineLevel="0" collapsed="false">
      <c r="A28" s="5" t="s">
        <v>47</v>
      </c>
      <c r="B28" s="12" t="n">
        <v>0.03</v>
      </c>
      <c r="C28" s="12" t="n">
        <v>0.03</v>
      </c>
      <c r="D28" s="12" t="n">
        <v>0.02</v>
      </c>
      <c r="E28" s="12" t="n">
        <v>0.02</v>
      </c>
      <c r="F28" s="12" t="n">
        <v>0.02</v>
      </c>
      <c r="G28" s="12" t="n">
        <v>0.02</v>
      </c>
      <c r="I28" s="10" t="s">
        <v>48</v>
      </c>
    </row>
    <row r="29" customFormat="false" ht="15" hidden="false" customHeight="false" outlineLevel="0" collapsed="false">
      <c r="A29" s="5" t="s">
        <v>49</v>
      </c>
      <c r="B29" s="12" t="n">
        <v>0</v>
      </c>
      <c r="C29" s="12" t="n">
        <v>0</v>
      </c>
      <c r="D29" s="12" t="n">
        <v>0</v>
      </c>
      <c r="E29" s="12" t="n">
        <v>0</v>
      </c>
      <c r="F29" s="12" t="n">
        <v>0</v>
      </c>
      <c r="G29" s="12" t="n">
        <v>0</v>
      </c>
    </row>
    <row r="30" customFormat="false" ht="15" hidden="false" customHeight="false" outlineLevel="0" collapsed="false">
      <c r="A30" s="5" t="s">
        <v>50</v>
      </c>
      <c r="B30" s="12" t="n">
        <v>0.05</v>
      </c>
      <c r="C30" s="12" t="n">
        <v>0.04</v>
      </c>
      <c r="D30" s="12" t="n">
        <v>0.04</v>
      </c>
      <c r="E30" s="12" t="n">
        <v>0.03</v>
      </c>
      <c r="F30" s="12" t="n">
        <v>0.03</v>
      </c>
      <c r="G30" s="12" t="n">
        <v>0.03</v>
      </c>
    </row>
    <row r="31" customFormat="false" ht="15" hidden="false" customHeight="false" outlineLevel="0" collapsed="false">
      <c r="A31" s="4" t="s">
        <v>51</v>
      </c>
      <c r="B31" s="13" t="n">
        <f aca="false">CHOOSE($C$5,B28,B29,B30)</f>
        <v>0.03</v>
      </c>
      <c r="C31" s="13" t="n">
        <f aca="false">CHOOSE($C$5,C28,C29,C30)</f>
        <v>0.03</v>
      </c>
      <c r="D31" s="13" t="n">
        <f aca="false">CHOOSE($C$5,D28,D29,D30)</f>
        <v>0.02</v>
      </c>
      <c r="E31" s="13" t="n">
        <f aca="false">CHOOSE($C$5,E28,E29,E30)</f>
        <v>0.02</v>
      </c>
      <c r="F31" s="13" t="n">
        <f aca="false">CHOOSE($C$5,F28,F29,F30)</f>
        <v>0.02</v>
      </c>
      <c r="G31" s="13" t="n">
        <f aca="false">CHOOSE($C$5,G28,G29,G30)</f>
        <v>0.02</v>
      </c>
    </row>
    <row r="33" customFormat="false" ht="15" hidden="false" customHeight="false" outlineLevel="0" collapsed="false">
      <c r="A33" s="5" t="s">
        <v>52</v>
      </c>
      <c r="B33" s="12" t="n">
        <v>0.06</v>
      </c>
      <c r="C33" s="12" t="n">
        <v>0.05</v>
      </c>
      <c r="D33" s="12" t="n">
        <v>0.05</v>
      </c>
      <c r="E33" s="12" t="n">
        <v>0.04</v>
      </c>
      <c r="F33" s="12" t="n">
        <v>0.04</v>
      </c>
      <c r="G33" s="12" t="n">
        <v>0.04</v>
      </c>
      <c r="I33" s="10" t="s">
        <v>53</v>
      </c>
    </row>
    <row r="34" customFormat="false" ht="15" hidden="false" customHeight="false" outlineLevel="0" collapsed="false">
      <c r="A34" s="5" t="s">
        <v>54</v>
      </c>
      <c r="B34" s="12" t="n">
        <v>0.02</v>
      </c>
      <c r="C34" s="12" t="n">
        <v>0.02</v>
      </c>
      <c r="D34" s="12" t="n">
        <v>0.02</v>
      </c>
      <c r="E34" s="12" t="n">
        <v>0.02</v>
      </c>
      <c r="F34" s="12" t="n">
        <v>0.02</v>
      </c>
      <c r="G34" s="12" t="n">
        <v>0.02</v>
      </c>
    </row>
    <row r="35" customFormat="false" ht="15" hidden="false" customHeight="false" outlineLevel="0" collapsed="false">
      <c r="A35" s="5" t="s">
        <v>55</v>
      </c>
      <c r="B35" s="12" t="n">
        <v>0.08</v>
      </c>
      <c r="C35" s="12" t="n">
        <v>0.07</v>
      </c>
      <c r="D35" s="12" t="n">
        <v>0.06</v>
      </c>
      <c r="E35" s="12" t="n">
        <v>0.05</v>
      </c>
      <c r="F35" s="12" t="n">
        <v>0.05</v>
      </c>
      <c r="G35" s="12" t="n">
        <v>0.05</v>
      </c>
    </row>
    <row r="36" customFormat="false" ht="15" hidden="false" customHeight="false" outlineLevel="0" collapsed="false">
      <c r="A36" s="4" t="s">
        <v>56</v>
      </c>
      <c r="B36" s="13" t="n">
        <f aca="false">CHOOSE($C$5,B33,B34,B35)</f>
        <v>0.06</v>
      </c>
      <c r="C36" s="13" t="n">
        <f aca="false">CHOOSE($C$5,C33,C34,C35)</f>
        <v>0.05</v>
      </c>
      <c r="D36" s="13" t="n">
        <f aca="false">CHOOSE($C$5,D33,D34,D35)</f>
        <v>0.05</v>
      </c>
      <c r="E36" s="13" t="n">
        <f aca="false">CHOOSE($C$5,E33,E34,E35)</f>
        <v>0.04</v>
      </c>
      <c r="F36" s="13" t="n">
        <f aca="false">CHOOSE($C$5,F33,F34,F35)</f>
        <v>0.04</v>
      </c>
      <c r="G36" s="13" t="n">
        <f aca="false">CHOOSE($C$5,G33,G34,G35)</f>
        <v>0.04</v>
      </c>
    </row>
    <row r="38" customFormat="false" ht="15" hidden="false" customHeight="false" outlineLevel="0" collapsed="false">
      <c r="A38" s="5" t="s">
        <v>57</v>
      </c>
      <c r="B38" s="12" t="n">
        <v>0.245</v>
      </c>
      <c r="C38" s="12" t="n">
        <v>0.248</v>
      </c>
      <c r="D38" s="12" t="n">
        <v>0.251</v>
      </c>
      <c r="E38" s="12" t="n">
        <v>0.254</v>
      </c>
      <c r="F38" s="12" t="n">
        <v>0.256</v>
      </c>
      <c r="G38" s="12" t="n">
        <v>0.258</v>
      </c>
      <c r="I38" s="10" t="s">
        <v>58</v>
      </c>
    </row>
    <row r="39" customFormat="false" ht="15" hidden="false" customHeight="false" outlineLevel="0" collapsed="false">
      <c r="A39" s="5" t="s">
        <v>59</v>
      </c>
      <c r="B39" s="12" t="n">
        <v>0.235</v>
      </c>
      <c r="C39" s="12" t="n">
        <v>0.23</v>
      </c>
      <c r="D39" s="12" t="n">
        <v>0.225</v>
      </c>
      <c r="E39" s="12" t="n">
        <v>0.22</v>
      </c>
      <c r="F39" s="12" t="n">
        <v>0.215</v>
      </c>
      <c r="G39" s="12" t="n">
        <v>0.21</v>
      </c>
    </row>
    <row r="40" customFormat="false" ht="15" hidden="false" customHeight="false" outlineLevel="0" collapsed="false">
      <c r="A40" s="5" t="s">
        <v>60</v>
      </c>
      <c r="B40" s="12" t="n">
        <v>0.25</v>
      </c>
      <c r="C40" s="12" t="n">
        <v>0.258</v>
      </c>
      <c r="D40" s="12" t="n">
        <v>0.265</v>
      </c>
      <c r="E40" s="12" t="n">
        <v>0.27</v>
      </c>
      <c r="F40" s="12" t="n">
        <v>0.275</v>
      </c>
      <c r="G40" s="12" t="n">
        <v>0.28</v>
      </c>
    </row>
    <row r="41" customFormat="false" ht="15" hidden="false" customHeight="false" outlineLevel="0" collapsed="false">
      <c r="A41" s="4" t="s">
        <v>61</v>
      </c>
      <c r="B41" s="13" t="n">
        <f aca="false">CHOOSE($C$5,B38,B39,B40)</f>
        <v>0.245</v>
      </c>
      <c r="C41" s="13" t="n">
        <f aca="false">CHOOSE($C$5,C38,C39,C40)</f>
        <v>0.248</v>
      </c>
      <c r="D41" s="13" t="n">
        <f aca="false">CHOOSE($C$5,D38,D39,D40)</f>
        <v>0.251</v>
      </c>
      <c r="E41" s="13" t="n">
        <f aca="false">CHOOSE($C$5,E38,E39,E40)</f>
        <v>0.254</v>
      </c>
      <c r="F41" s="13" t="n">
        <f aca="false">CHOOSE($C$5,F38,F39,F40)</f>
        <v>0.256</v>
      </c>
      <c r="G41" s="13" t="n">
        <f aca="false">CHOOSE($C$5,G38,G39,G40)</f>
        <v>0.258</v>
      </c>
    </row>
    <row r="43" customFormat="false" ht="15" hidden="false" customHeight="false" outlineLevel="0" collapsed="false">
      <c r="A43" s="5" t="s">
        <v>62</v>
      </c>
      <c r="B43" s="9" t="n">
        <v>0</v>
      </c>
      <c r="C43" s="9" t="n">
        <v>0</v>
      </c>
      <c r="D43" s="9" t="n">
        <v>0</v>
      </c>
      <c r="E43" s="9" t="n">
        <v>0</v>
      </c>
      <c r="F43" s="9" t="n">
        <v>0</v>
      </c>
      <c r="G43" s="9" t="n">
        <v>0</v>
      </c>
      <c r="I43" s="10" t="s">
        <v>63</v>
      </c>
    </row>
    <row r="44" customFormat="false" ht="15" hidden="false" customHeight="false" outlineLevel="0" collapsed="false">
      <c r="A44" s="5" t="s">
        <v>64</v>
      </c>
      <c r="B44" s="9" t="n">
        <v>0</v>
      </c>
      <c r="C44" s="9" t="n">
        <v>0</v>
      </c>
      <c r="D44" s="9" t="n">
        <v>0</v>
      </c>
      <c r="E44" s="9" t="n">
        <v>0</v>
      </c>
      <c r="F44" s="9" t="n">
        <v>0</v>
      </c>
      <c r="G44" s="9" t="n">
        <v>0</v>
      </c>
    </row>
    <row r="45" customFormat="false" ht="15" hidden="false" customHeight="false" outlineLevel="0" collapsed="false">
      <c r="A45" s="5" t="s">
        <v>65</v>
      </c>
      <c r="B45" s="9" t="n">
        <v>0</v>
      </c>
      <c r="C45" s="9" t="n">
        <v>0</v>
      </c>
      <c r="D45" s="9" t="n">
        <v>0</v>
      </c>
      <c r="E45" s="9" t="n">
        <v>0</v>
      </c>
      <c r="F45" s="9" t="n">
        <v>0</v>
      </c>
      <c r="G45" s="9" t="n">
        <v>0</v>
      </c>
    </row>
    <row r="46" customFormat="false" ht="15" hidden="false" customHeight="false" outlineLevel="0" collapsed="false">
      <c r="A46" s="4" t="s">
        <v>66</v>
      </c>
      <c r="B46" s="14" t="n">
        <f aca="false">CHOOSE($C$5,B43,B44,B45)</f>
        <v>0</v>
      </c>
      <c r="C46" s="14" t="n">
        <f aca="false">CHOOSE($C$5,C43,C44,C45)</f>
        <v>0</v>
      </c>
      <c r="D46" s="14" t="n">
        <f aca="false">CHOOSE($C$5,D43,D44,D45)</f>
        <v>0</v>
      </c>
      <c r="E46" s="14" t="n">
        <f aca="false">CHOOSE($C$5,E43,E44,E45)</f>
        <v>0</v>
      </c>
      <c r="F46" s="14" t="n">
        <f aca="false">CHOOSE($C$5,F43,F44,F45)</f>
        <v>0</v>
      </c>
      <c r="G46" s="14" t="n">
        <f aca="false">CHOOSE($C$5,G43,G44,G45)</f>
        <v>0</v>
      </c>
    </row>
    <row r="48" customFormat="false" ht="15" hidden="false" customHeight="false" outlineLevel="0" collapsed="false">
      <c r="A48" s="5" t="s">
        <v>67</v>
      </c>
      <c r="B48" s="9" t="n">
        <v>1400</v>
      </c>
      <c r="C48" s="9" t="n">
        <v>1400</v>
      </c>
      <c r="D48" s="9" t="n">
        <v>1400</v>
      </c>
      <c r="E48" s="9" t="n">
        <v>1400</v>
      </c>
      <c r="F48" s="9" t="n">
        <v>1400</v>
      </c>
      <c r="G48" s="9" t="n">
        <v>1400</v>
      </c>
      <c r="I48" s="10" t="s">
        <v>68</v>
      </c>
    </row>
    <row r="49" customFormat="false" ht="15" hidden="false" customHeight="false" outlineLevel="0" collapsed="false">
      <c r="A49" s="5" t="s">
        <v>69</v>
      </c>
      <c r="B49" s="9" t="n">
        <v>1400</v>
      </c>
      <c r="C49" s="9" t="n">
        <v>1400</v>
      </c>
      <c r="D49" s="9" t="n">
        <v>1400</v>
      </c>
      <c r="E49" s="9" t="n">
        <v>1400</v>
      </c>
      <c r="F49" s="9" t="n">
        <v>1400</v>
      </c>
      <c r="G49" s="9" t="n">
        <v>1400</v>
      </c>
    </row>
    <row r="50" customFormat="false" ht="15" hidden="false" customHeight="false" outlineLevel="0" collapsed="false">
      <c r="A50" s="5" t="s">
        <v>70</v>
      </c>
      <c r="B50" s="9" t="n">
        <v>1400</v>
      </c>
      <c r="C50" s="9" t="n">
        <v>1400</v>
      </c>
      <c r="D50" s="9" t="n">
        <v>1400</v>
      </c>
      <c r="E50" s="9" t="n">
        <v>1400</v>
      </c>
      <c r="F50" s="9" t="n">
        <v>1400</v>
      </c>
      <c r="G50" s="9" t="n">
        <v>1400</v>
      </c>
    </row>
    <row r="51" customFormat="false" ht="15" hidden="false" customHeight="false" outlineLevel="0" collapsed="false">
      <c r="A51" s="4" t="s">
        <v>71</v>
      </c>
      <c r="B51" s="14" t="n">
        <f aca="false">CHOOSE($C$5,B48,B49,B50)</f>
        <v>1400</v>
      </c>
      <c r="C51" s="14" t="n">
        <f aca="false">CHOOSE($C$5,C48,C49,C50)</f>
        <v>1400</v>
      </c>
      <c r="D51" s="14" t="n">
        <f aca="false">CHOOSE($C$5,D48,D49,D50)</f>
        <v>1400</v>
      </c>
      <c r="E51" s="14" t="n">
        <f aca="false">CHOOSE($C$5,E48,E49,E50)</f>
        <v>1400</v>
      </c>
      <c r="F51" s="14" t="n">
        <f aca="false">CHOOSE($C$5,F48,F49,F50)</f>
        <v>1400</v>
      </c>
      <c r="G51" s="14" t="n">
        <f aca="false">CHOOSE($C$5,G48,G49,G50)</f>
        <v>1400</v>
      </c>
    </row>
    <row r="53" customFormat="false" ht="15" hidden="false" customHeight="false" outlineLevel="0" collapsed="false">
      <c r="A53" s="5" t="s">
        <v>72</v>
      </c>
      <c r="B53" s="9" t="n">
        <v>300</v>
      </c>
      <c r="C53" s="9" t="n">
        <v>200</v>
      </c>
      <c r="D53" s="9" t="n">
        <v>100</v>
      </c>
      <c r="E53" s="9" t="n">
        <v>0</v>
      </c>
      <c r="F53" s="9" t="n">
        <v>0</v>
      </c>
      <c r="G53" s="9" t="n">
        <v>0</v>
      </c>
      <c r="I53" s="10" t="s">
        <v>73</v>
      </c>
    </row>
    <row r="54" customFormat="false" ht="15" hidden="false" customHeight="false" outlineLevel="0" collapsed="false">
      <c r="A54" s="5" t="s">
        <v>74</v>
      </c>
      <c r="B54" s="9" t="n">
        <v>500</v>
      </c>
      <c r="C54" s="9" t="n">
        <v>400</v>
      </c>
      <c r="D54" s="9" t="n">
        <v>300</v>
      </c>
      <c r="E54" s="9" t="n">
        <v>200</v>
      </c>
      <c r="F54" s="9" t="n">
        <v>100</v>
      </c>
      <c r="G54" s="9" t="n">
        <v>0</v>
      </c>
    </row>
    <row r="55" customFormat="false" ht="15" hidden="false" customHeight="false" outlineLevel="0" collapsed="false">
      <c r="A55" s="5" t="s">
        <v>75</v>
      </c>
      <c r="B55" s="9" t="n">
        <v>200</v>
      </c>
      <c r="C55" s="9" t="n">
        <v>100</v>
      </c>
      <c r="D55" s="9" t="n">
        <v>0</v>
      </c>
      <c r="E55" s="9" t="n">
        <v>0</v>
      </c>
      <c r="F55" s="9" t="n">
        <v>0</v>
      </c>
      <c r="G55" s="9" t="n">
        <v>0</v>
      </c>
    </row>
    <row r="56" customFormat="false" ht="15" hidden="false" customHeight="false" outlineLevel="0" collapsed="false">
      <c r="A56" s="4" t="s">
        <v>76</v>
      </c>
      <c r="B56" s="14" t="n">
        <f aca="false">CHOOSE($C$5,B53,B54,B55)</f>
        <v>300</v>
      </c>
      <c r="C56" s="14" t="n">
        <f aca="false">CHOOSE($C$5,C53,C54,C55)</f>
        <v>200</v>
      </c>
      <c r="D56" s="14" t="n">
        <f aca="false">CHOOSE($C$5,D53,D54,D55)</f>
        <v>100</v>
      </c>
      <c r="E56" s="14" t="n">
        <f aca="false">CHOOSE($C$5,E53,E54,E55)</f>
        <v>0</v>
      </c>
      <c r="F56" s="14" t="n">
        <f aca="false">CHOOSE($C$5,F53,F54,F55)</f>
        <v>0</v>
      </c>
      <c r="G56" s="14" t="n">
        <f aca="false">CHOOSE($C$5,G53,G54,G55)</f>
        <v>0</v>
      </c>
    </row>
    <row r="58" customFormat="false" ht="15" hidden="false" customHeight="false" outlineLevel="0" collapsed="false">
      <c r="A58" s="5" t="s">
        <v>77</v>
      </c>
      <c r="B58" s="12" t="n">
        <v>0.085</v>
      </c>
      <c r="C58" s="12" t="n">
        <v>0.08</v>
      </c>
      <c r="D58" s="12" t="n">
        <v>0.075</v>
      </c>
      <c r="E58" s="12" t="n">
        <v>0.07</v>
      </c>
      <c r="F58" s="12" t="n">
        <v>0.07</v>
      </c>
      <c r="G58" s="12" t="n">
        <v>0.07</v>
      </c>
      <c r="I58" s="10" t="s">
        <v>78</v>
      </c>
    </row>
    <row r="59" customFormat="false" ht="15" hidden="false" customHeight="false" outlineLevel="0" collapsed="false">
      <c r="A59" s="5" t="s">
        <v>79</v>
      </c>
      <c r="B59" s="12" t="n">
        <v>0.09</v>
      </c>
      <c r="C59" s="12" t="n">
        <v>0.088</v>
      </c>
      <c r="D59" s="12" t="n">
        <v>0.085</v>
      </c>
      <c r="E59" s="12" t="n">
        <v>0.082</v>
      </c>
      <c r="F59" s="12" t="n">
        <v>0.08</v>
      </c>
      <c r="G59" s="12" t="n">
        <v>0.08</v>
      </c>
    </row>
    <row r="60" customFormat="false" ht="15" hidden="false" customHeight="false" outlineLevel="0" collapsed="false">
      <c r="A60" s="5" t="s">
        <v>80</v>
      </c>
      <c r="B60" s="12" t="n">
        <v>0.082</v>
      </c>
      <c r="C60" s="12" t="n">
        <v>0.075</v>
      </c>
      <c r="D60" s="12" t="n">
        <v>0.07</v>
      </c>
      <c r="E60" s="12" t="n">
        <v>0.065</v>
      </c>
      <c r="F60" s="12" t="n">
        <v>0.065</v>
      </c>
      <c r="G60" s="12" t="n">
        <v>0.065</v>
      </c>
    </row>
    <row r="61" customFormat="false" ht="15" hidden="false" customHeight="false" outlineLevel="0" collapsed="false">
      <c r="A61" s="4" t="s">
        <v>81</v>
      </c>
      <c r="B61" s="13" t="n">
        <f aca="false">CHOOSE($C$5,B58,B59,B60)</f>
        <v>0.085</v>
      </c>
      <c r="C61" s="13" t="n">
        <f aca="false">CHOOSE($C$5,C58,C59,C60)</f>
        <v>0.08</v>
      </c>
      <c r="D61" s="13" t="n">
        <f aca="false">CHOOSE($C$5,D58,D59,D60)</f>
        <v>0.075</v>
      </c>
      <c r="E61" s="13" t="n">
        <f aca="false">CHOOSE($C$5,E58,E59,E60)</f>
        <v>0.07</v>
      </c>
      <c r="F61" s="13" t="n">
        <f aca="false">CHOOSE($C$5,F58,F59,F60)</f>
        <v>0.07</v>
      </c>
      <c r="G61" s="13" t="n">
        <f aca="false">CHOOSE($C$5,G58,G59,G60)</f>
        <v>0.07</v>
      </c>
    </row>
    <row r="63" customFormat="false" ht="15" hidden="false" customHeight="false" outlineLevel="0" collapsed="false">
      <c r="A63" s="5" t="s">
        <v>82</v>
      </c>
      <c r="B63" s="12" t="n">
        <v>0.005</v>
      </c>
      <c r="C63" s="12" t="n">
        <v>0.005</v>
      </c>
      <c r="D63" s="12" t="n">
        <v>0.005</v>
      </c>
      <c r="E63" s="12" t="n">
        <v>0.005</v>
      </c>
      <c r="F63" s="12" t="n">
        <v>0.005</v>
      </c>
      <c r="G63" s="12" t="n">
        <v>0.005</v>
      </c>
      <c r="I63" s="10" t="s">
        <v>83</v>
      </c>
    </row>
    <row r="64" customFormat="false" ht="15" hidden="false" customHeight="false" outlineLevel="0" collapsed="false">
      <c r="A64" s="5" t="s">
        <v>84</v>
      </c>
      <c r="B64" s="12" t="n">
        <v>0.008</v>
      </c>
      <c r="C64" s="12" t="n">
        <v>0.008</v>
      </c>
      <c r="D64" s="12" t="n">
        <v>0.008</v>
      </c>
      <c r="E64" s="12" t="n">
        <v>0.008</v>
      </c>
      <c r="F64" s="12" t="n">
        <v>0.008</v>
      </c>
      <c r="G64" s="12" t="n">
        <v>0.008</v>
      </c>
    </row>
    <row r="65" customFormat="false" ht="15" hidden="false" customHeight="false" outlineLevel="0" collapsed="false">
      <c r="A65" s="5" t="s">
        <v>85</v>
      </c>
      <c r="B65" s="12" t="n">
        <v>0.004</v>
      </c>
      <c r="C65" s="12" t="n">
        <v>0.004</v>
      </c>
      <c r="D65" s="12" t="n">
        <v>0.004</v>
      </c>
      <c r="E65" s="12" t="n">
        <v>0.004</v>
      </c>
      <c r="F65" s="12" t="n">
        <v>0.004</v>
      </c>
      <c r="G65" s="12" t="n">
        <v>0.004</v>
      </c>
    </row>
    <row r="66" customFormat="false" ht="15" hidden="false" customHeight="false" outlineLevel="0" collapsed="false">
      <c r="A66" s="4" t="s">
        <v>86</v>
      </c>
      <c r="B66" s="13" t="n">
        <f aca="false">CHOOSE($C$5,B63,B64,B65)</f>
        <v>0.005</v>
      </c>
      <c r="C66" s="13" t="n">
        <f aca="false">CHOOSE($C$5,C63,C64,C65)</f>
        <v>0.005</v>
      </c>
      <c r="D66" s="13" t="n">
        <f aca="false">CHOOSE($C$5,D63,D64,D65)</f>
        <v>0.005</v>
      </c>
      <c r="E66" s="13" t="n">
        <f aca="false">CHOOSE($C$5,E63,E64,E65)</f>
        <v>0.005</v>
      </c>
      <c r="F66" s="13" t="n">
        <f aca="false">CHOOSE($C$5,F63,F64,F65)</f>
        <v>0.005</v>
      </c>
      <c r="G66" s="13" t="n">
        <f aca="false">CHOOSE($C$5,G63,G64,G65)</f>
        <v>0.005</v>
      </c>
    </row>
    <row r="68" customFormat="false" ht="15" hidden="false" customHeight="false" outlineLevel="0" collapsed="false">
      <c r="A68" s="5" t="s">
        <v>87</v>
      </c>
      <c r="B68" s="9" t="n">
        <v>5600</v>
      </c>
      <c r="C68" s="9" t="n">
        <v>5600</v>
      </c>
      <c r="D68" s="9" t="n">
        <v>5600</v>
      </c>
      <c r="E68" s="9" t="n">
        <v>5600</v>
      </c>
      <c r="F68" s="9" t="n">
        <v>5600</v>
      </c>
      <c r="G68" s="9" t="n">
        <v>5600</v>
      </c>
      <c r="I68" s="10" t="s">
        <v>88</v>
      </c>
    </row>
    <row r="69" customFormat="false" ht="15" hidden="false" customHeight="false" outlineLevel="0" collapsed="false">
      <c r="A69" s="5" t="s">
        <v>89</v>
      </c>
      <c r="B69" s="9" t="n">
        <v>5600</v>
      </c>
      <c r="C69" s="9" t="n">
        <v>5600</v>
      </c>
      <c r="D69" s="9" t="n">
        <v>5600</v>
      </c>
      <c r="E69" s="9" t="n">
        <v>5600</v>
      </c>
      <c r="F69" s="9" t="n">
        <v>5600</v>
      </c>
      <c r="G69" s="9" t="n">
        <v>5600</v>
      </c>
    </row>
    <row r="70" customFormat="false" ht="15" hidden="false" customHeight="false" outlineLevel="0" collapsed="false">
      <c r="A70" s="5" t="s">
        <v>90</v>
      </c>
      <c r="B70" s="9" t="n">
        <v>5600</v>
      </c>
      <c r="C70" s="9" t="n">
        <v>5600</v>
      </c>
      <c r="D70" s="9" t="n">
        <v>5600</v>
      </c>
      <c r="E70" s="9" t="n">
        <v>5600</v>
      </c>
      <c r="F70" s="9" t="n">
        <v>5600</v>
      </c>
      <c r="G70" s="9" t="n">
        <v>5600</v>
      </c>
    </row>
    <row r="71" customFormat="false" ht="15" hidden="false" customHeight="false" outlineLevel="0" collapsed="false">
      <c r="A71" s="4" t="s">
        <v>91</v>
      </c>
      <c r="B71" s="14" t="n">
        <f aca="false">CHOOSE($C$5,B68,B69,B70)</f>
        <v>5600</v>
      </c>
      <c r="C71" s="14" t="n">
        <f aca="false">CHOOSE($C$5,C68,C69,C70)</f>
        <v>5600</v>
      </c>
      <c r="D71" s="14" t="n">
        <f aca="false">CHOOSE($C$5,D68,D69,D70)</f>
        <v>5600</v>
      </c>
      <c r="E71" s="14" t="n">
        <f aca="false">CHOOSE($C$5,E68,E69,E70)</f>
        <v>5600</v>
      </c>
      <c r="F71" s="14" t="n">
        <f aca="false">CHOOSE($C$5,F68,F69,F70)</f>
        <v>5600</v>
      </c>
      <c r="G71" s="14" t="n">
        <f aca="false">CHOOSE($C$5,G68,G69,G70)</f>
        <v>5600</v>
      </c>
    </row>
    <row r="73" customFormat="false" ht="15" hidden="false" customHeight="false" outlineLevel="0" collapsed="false">
      <c r="A73" s="7" t="s">
        <v>92</v>
      </c>
      <c r="B73" s="8" t="s">
        <v>12</v>
      </c>
      <c r="C73" s="8"/>
      <c r="D73" s="8"/>
      <c r="E73" s="8"/>
      <c r="F73" s="8"/>
      <c r="G73" s="8"/>
      <c r="H73" s="8"/>
      <c r="I73" s="8" t="s">
        <v>13</v>
      </c>
    </row>
    <row r="74" customFormat="false" ht="15" hidden="false" customHeight="false" outlineLevel="0" collapsed="false">
      <c r="A74" s="5" t="s">
        <v>93</v>
      </c>
      <c r="B74" s="15" t="n">
        <v>110.16</v>
      </c>
      <c r="I74" s="10" t="s">
        <v>94</v>
      </c>
    </row>
    <row r="75" customFormat="false" ht="15" hidden="false" customHeight="false" outlineLevel="0" collapsed="false">
      <c r="A75" s="5" t="s">
        <v>95</v>
      </c>
      <c r="B75" s="9" t="n">
        <v>1727</v>
      </c>
      <c r="I75" s="10" t="s">
        <v>96</v>
      </c>
    </row>
    <row r="76" customFormat="false" ht="15" hidden="false" customHeight="false" outlineLevel="0" collapsed="false">
      <c r="A76" s="5" t="s">
        <v>97</v>
      </c>
      <c r="B76" s="9" t="n">
        <v>46041</v>
      </c>
      <c r="I76" s="10" t="s">
        <v>98</v>
      </c>
    </row>
    <row r="77" customFormat="false" ht="15" hidden="false" customHeight="false" outlineLevel="0" collapsed="false">
      <c r="A77" s="5" t="s">
        <v>99</v>
      </c>
      <c r="B77" s="9" t="n">
        <v>5185</v>
      </c>
      <c r="I77" s="10" t="s">
        <v>100</v>
      </c>
    </row>
    <row r="78" customFormat="false" ht="15" hidden="false" customHeight="false" outlineLevel="0" collapsed="false">
      <c r="A78" s="5" t="s">
        <v>101</v>
      </c>
      <c r="B78" s="9" t="n">
        <v>6810</v>
      </c>
      <c r="I78" s="10" t="s">
        <v>102</v>
      </c>
    </row>
    <row r="79" customFormat="false" ht="15" hidden="false" customHeight="false" outlineLevel="0" collapsed="false">
      <c r="A79" s="5" t="s">
        <v>103</v>
      </c>
      <c r="B79" s="12" t="n">
        <v>0.94</v>
      </c>
      <c r="I79" s="10" t="s">
        <v>104</v>
      </c>
    </row>
    <row r="80" customFormat="false" ht="15" hidden="false" customHeight="false" outlineLevel="0" collapsed="false">
      <c r="A80" s="5" t="s">
        <v>105</v>
      </c>
      <c r="B80" s="12" t="n">
        <v>0.02</v>
      </c>
      <c r="I80" s="10" t="s">
        <v>106</v>
      </c>
    </row>
    <row r="81" customFormat="false" ht="15" hidden="false" customHeight="false" outlineLevel="0" collapsed="false">
      <c r="A81" s="5" t="s">
        <v>107</v>
      </c>
      <c r="B81" s="16" t="n">
        <v>10</v>
      </c>
      <c r="I81" s="10" t="s">
        <v>108</v>
      </c>
    </row>
    <row r="82" customFormat="false" ht="15" hidden="false" customHeight="false" outlineLevel="0" collapsed="false">
      <c r="A82" s="5" t="s">
        <v>109</v>
      </c>
      <c r="B82" s="12" t="n">
        <v>0.23</v>
      </c>
      <c r="I82" s="10"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6" min="2" style="0" width="12"/>
    <col collapsed="false" customWidth="true" hidden="false" outlineLevel="0" max="7" min="7" style="0" width="50"/>
  </cols>
  <sheetData>
    <row r="1" customFormat="false" ht="17.35" hidden="false" customHeight="false" outlineLevel="0" collapsed="false">
      <c r="A1" s="1" t="s">
        <v>111</v>
      </c>
    </row>
    <row r="2" customFormat="false" ht="15" hidden="false" customHeight="false" outlineLevel="0" collapsed="false">
      <c r="A2" s="2" t="s">
        <v>1</v>
      </c>
    </row>
    <row r="4" customFormat="false" ht="15" hidden="false" customHeight="false" outlineLevel="0" collapsed="false">
      <c r="A4" s="7" t="s">
        <v>112</v>
      </c>
      <c r="B4" s="8" t="s">
        <v>113</v>
      </c>
      <c r="C4" s="8" t="s">
        <v>114</v>
      </c>
      <c r="D4" s="8" t="s">
        <v>115</v>
      </c>
      <c r="E4" s="8" t="s">
        <v>13</v>
      </c>
    </row>
    <row r="5" customFormat="false" ht="15" hidden="false" customHeight="false" outlineLevel="0" collapsed="false">
      <c r="A5" s="5" t="s">
        <v>116</v>
      </c>
      <c r="B5" s="9" t="n">
        <v>91361</v>
      </c>
      <c r="C5" s="9" t="n">
        <v>94425</v>
      </c>
      <c r="D5" s="9" t="n">
        <v>76397</v>
      </c>
      <c r="E5" s="10" t="s">
        <v>117</v>
      </c>
    </row>
    <row r="6" customFormat="false" ht="15" hidden="false" customHeight="false" outlineLevel="0" collapsed="false">
      <c r="A6" s="5" t="s">
        <v>118</v>
      </c>
      <c r="B6" s="9" t="n">
        <v>41186</v>
      </c>
      <c r="C6" s="9" t="n">
        <v>42466</v>
      </c>
      <c r="D6" s="9" t="n">
        <v>34669</v>
      </c>
      <c r="E6" s="10" t="s">
        <v>117</v>
      </c>
    </row>
    <row r="7" customFormat="false" ht="15" hidden="false" customHeight="false" outlineLevel="0" collapsed="false">
      <c r="A7" s="5" t="s">
        <v>119</v>
      </c>
      <c r="B7" s="9" t="n">
        <v>17619</v>
      </c>
      <c r="C7" s="9" t="n">
        <v>17672</v>
      </c>
      <c r="D7" s="9" t="n">
        <v>14018</v>
      </c>
      <c r="E7" s="10" t="s">
        <v>117</v>
      </c>
    </row>
    <row r="8" customFormat="false" ht="15" hidden="false" customHeight="false" outlineLevel="0" collapsed="false">
      <c r="A8" s="5" t="s">
        <v>120</v>
      </c>
      <c r="B8" s="9" t="n">
        <v>34151</v>
      </c>
      <c r="C8" s="9" t="n">
        <v>36156</v>
      </c>
      <c r="D8" s="9" t="n">
        <v>29461</v>
      </c>
      <c r="E8" s="10" t="s">
        <v>117</v>
      </c>
    </row>
    <row r="9" customFormat="false" ht="15" hidden="false" customHeight="false" outlineLevel="0" collapsed="false">
      <c r="A9" s="5" t="s">
        <v>121</v>
      </c>
      <c r="B9" s="9" t="n">
        <v>15601</v>
      </c>
      <c r="C9" s="9" t="n">
        <v>17551</v>
      </c>
      <c r="D9" s="9" t="n">
        <v>14758</v>
      </c>
      <c r="E9" s="10" t="s">
        <v>117</v>
      </c>
    </row>
    <row r="10" customFormat="false" ht="15" hidden="false" customHeight="false" outlineLevel="0" collapsed="false">
      <c r="A10" s="5" t="s">
        <v>122</v>
      </c>
      <c r="B10" s="9" t="n">
        <v>3923</v>
      </c>
      <c r="C10" s="9" t="n">
        <v>4674</v>
      </c>
      <c r="D10" s="9" t="n">
        <v>4116</v>
      </c>
      <c r="E10" s="10" t="s">
        <v>117</v>
      </c>
    </row>
    <row r="11" customFormat="false" ht="15" hidden="false" customHeight="false" outlineLevel="0" collapsed="false">
      <c r="A11" s="5" t="s">
        <v>123</v>
      </c>
      <c r="B11" s="9" t="n">
        <v>2406</v>
      </c>
      <c r="C11" s="9" t="n">
        <v>2882</v>
      </c>
      <c r="D11" s="9" t="n">
        <v>1701</v>
      </c>
      <c r="E11" s="10" t="s">
        <v>117</v>
      </c>
    </row>
    <row r="12" customFormat="false" ht="15" hidden="false" customHeight="false" outlineLevel="0" collapsed="false">
      <c r="A12" s="5" t="s">
        <v>124</v>
      </c>
      <c r="B12" s="9" t="n">
        <v>9272</v>
      </c>
      <c r="C12" s="9" t="n">
        <v>9995</v>
      </c>
      <c r="D12" s="9" t="n">
        <v>8941</v>
      </c>
      <c r="E12" s="10" t="s">
        <v>117</v>
      </c>
    </row>
    <row r="13" customFormat="false" ht="15" hidden="false" customHeight="false" outlineLevel="0" collapsed="false">
      <c r="A13" s="5" t="s">
        <v>125</v>
      </c>
      <c r="B13" s="9" t="n">
        <v>4990</v>
      </c>
      <c r="C13" s="9" t="n">
        <v>5326</v>
      </c>
      <c r="D13" s="9" t="n">
        <v>4135</v>
      </c>
      <c r="E13" s="10" t="s">
        <v>117</v>
      </c>
    </row>
    <row r="14" customFormat="false" ht="15" hidden="false" customHeight="false" outlineLevel="0" collapsed="false">
      <c r="A14" s="5" t="s">
        <v>126</v>
      </c>
      <c r="C14" s="9" t="n">
        <v>1363</v>
      </c>
      <c r="E14" s="10" t="s">
        <v>19</v>
      </c>
    </row>
    <row r="15" customFormat="false" ht="15" hidden="false" customHeight="false" outlineLevel="0" collapsed="false">
      <c r="A15" s="5" t="s">
        <v>127</v>
      </c>
      <c r="B15" s="9" t="n">
        <v>5412</v>
      </c>
      <c r="C15" s="9" t="n">
        <v>8024</v>
      </c>
      <c r="D15" s="9" t="n">
        <v>6780</v>
      </c>
      <c r="E15" s="10" t="s">
        <v>117</v>
      </c>
    </row>
    <row r="16" customFormat="false" ht="15" hidden="false" customHeight="false" outlineLevel="0" collapsed="false">
      <c r="A16" s="5" t="s">
        <v>128</v>
      </c>
      <c r="B16" s="9" t="n">
        <v>8559</v>
      </c>
      <c r="C16" s="9" t="n">
        <v>10077</v>
      </c>
      <c r="D16" s="9" t="n">
        <v>5735</v>
      </c>
      <c r="E16" s="10" t="s">
        <v>117</v>
      </c>
    </row>
    <row r="17" customFormat="false" ht="15" hidden="false" customHeight="false" outlineLevel="0" collapsed="false">
      <c r="A17" s="5" t="s">
        <v>129</v>
      </c>
      <c r="B17" s="9" t="n">
        <v>39813</v>
      </c>
      <c r="C17" s="9" t="n">
        <v>36331</v>
      </c>
      <c r="D17" s="9" t="n">
        <v>40856</v>
      </c>
      <c r="E17" s="10" t="s">
        <v>130</v>
      </c>
    </row>
    <row r="19" customFormat="false" ht="15" hidden="false" customHeight="false" outlineLevel="0" collapsed="false">
      <c r="A19" s="2"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7" min="2" style="0" width="12"/>
    <col collapsed="false" customWidth="true" hidden="false" outlineLevel="0" max="8" min="8" style="0" width="46"/>
  </cols>
  <sheetData>
    <row r="1" customFormat="false" ht="17.35" hidden="false" customHeight="false" outlineLevel="0" collapsed="false">
      <c r="A1" s="1" t="s">
        <v>132</v>
      </c>
    </row>
    <row r="2" customFormat="false" ht="15" hidden="false" customHeight="false" outlineLevel="0" collapsed="false">
      <c r="A2" s="2" t="s">
        <v>1</v>
      </c>
    </row>
    <row r="4" customFormat="false" ht="15" hidden="false" customHeight="false" outlineLevel="0" collapsed="false">
      <c r="A4" s="7" t="s">
        <v>112</v>
      </c>
      <c r="B4" s="8" t="s">
        <v>35</v>
      </c>
      <c r="C4" s="8" t="s">
        <v>36</v>
      </c>
      <c r="D4" s="8" t="s">
        <v>37</v>
      </c>
      <c r="E4" s="8" t="s">
        <v>38</v>
      </c>
      <c r="F4" s="8" t="s">
        <v>39</v>
      </c>
      <c r="G4" s="8" t="s">
        <v>40</v>
      </c>
      <c r="H4" s="8" t="s">
        <v>41</v>
      </c>
    </row>
    <row r="5" customFormat="false" ht="15" hidden="false" customHeight="false" outlineLevel="0" collapsed="false">
      <c r="A5" s="5" t="s">
        <v>118</v>
      </c>
      <c r="B5" s="17" t="n">
        <f aca="false">Inputs!B17</f>
        <v>48000</v>
      </c>
      <c r="C5" s="18" t="n">
        <f aca="false">B5*(1+Inputs!C$26)</f>
        <v>49440</v>
      </c>
      <c r="D5" s="18" t="n">
        <f aca="false">C5*(1+Inputs!D$26)</f>
        <v>50428.8</v>
      </c>
      <c r="E5" s="18" t="n">
        <f aca="false">D5*(1+Inputs!E$26)</f>
        <v>51437.376</v>
      </c>
      <c r="F5" s="18" t="n">
        <f aca="false">E5*(1+Inputs!F$26)</f>
        <v>52466.12352</v>
      </c>
      <c r="G5" s="18" t="n">
        <f aca="false">F5*(1+Inputs!G$26)</f>
        <v>53515.4459904</v>
      </c>
    </row>
    <row r="6" customFormat="false" ht="15" hidden="false" customHeight="false" outlineLevel="0" collapsed="false">
      <c r="A6" s="5" t="s">
        <v>119</v>
      </c>
      <c r="B6" s="17" t="n">
        <f aca="false">Inputs!B18</f>
        <v>18500</v>
      </c>
      <c r="C6" s="18" t="n">
        <f aca="false">B6*(1+Inputs!C$31)</f>
        <v>19055</v>
      </c>
      <c r="D6" s="18" t="n">
        <f aca="false">C6*(1+Inputs!D$31)</f>
        <v>19436.1</v>
      </c>
      <c r="E6" s="18" t="n">
        <f aca="false">D6*(1+Inputs!E$31)</f>
        <v>19824.822</v>
      </c>
      <c r="F6" s="18" t="n">
        <f aca="false">E6*(1+Inputs!F$31)</f>
        <v>20221.31844</v>
      </c>
      <c r="G6" s="18" t="n">
        <f aca="false">F6*(1+Inputs!G$31)</f>
        <v>20625.7448088</v>
      </c>
    </row>
    <row r="7" customFormat="false" ht="15" hidden="false" customHeight="false" outlineLevel="0" collapsed="false">
      <c r="A7" s="5" t="s">
        <v>120</v>
      </c>
      <c r="B7" s="17" t="n">
        <f aca="false">Inputs!B19</f>
        <v>39000</v>
      </c>
      <c r="C7" s="18" t="n">
        <f aca="false">B7*(1+Inputs!C$36)</f>
        <v>40950</v>
      </c>
      <c r="D7" s="18" t="n">
        <f aca="false">C7*(1+Inputs!D$36)</f>
        <v>42997.5</v>
      </c>
      <c r="E7" s="18" t="n">
        <f aca="false">D7*(1+Inputs!E$36)</f>
        <v>44717.4</v>
      </c>
      <c r="F7" s="18" t="n">
        <f aca="false">E7*(1+Inputs!F$36)</f>
        <v>46506.096</v>
      </c>
      <c r="G7" s="18" t="n">
        <f aca="false">F7*(1+Inputs!G$36)</f>
        <v>48366.33984</v>
      </c>
    </row>
    <row r="8" customFormat="false" ht="15" hidden="false" customHeight="false" outlineLevel="0" collapsed="false">
      <c r="A8" s="19" t="s">
        <v>133</v>
      </c>
      <c r="B8" s="20" t="n">
        <f aca="false">SUM(B5:B7)</f>
        <v>105500</v>
      </c>
      <c r="C8" s="20" t="n">
        <f aca="false">SUM(C5:C7)</f>
        <v>109445</v>
      </c>
      <c r="D8" s="20" t="n">
        <f aca="false">SUM(D5:D7)</f>
        <v>112862.4</v>
      </c>
      <c r="E8" s="20" t="n">
        <f aca="false">SUM(E5:E7)</f>
        <v>115979.598</v>
      </c>
      <c r="F8" s="20" t="n">
        <f aca="false">SUM(F5:F7)</f>
        <v>119193.53796</v>
      </c>
      <c r="G8" s="20" t="n">
        <f aca="false">SUM(G5:G7)</f>
        <v>122507.5306392</v>
      </c>
    </row>
    <row r="9" customFormat="false" ht="15" hidden="false" customHeight="false" outlineLevel="0" collapsed="false">
      <c r="A9" s="5" t="s">
        <v>134</v>
      </c>
      <c r="B9" s="21"/>
      <c r="C9" s="21" t="n">
        <f aca="false">C8/B8-1</f>
        <v>0.03739336492891</v>
      </c>
      <c r="D9" s="21" t="n">
        <f aca="false">D8/C8-1</f>
        <v>0.0312248161176847</v>
      </c>
      <c r="E9" s="21" t="n">
        <f aca="false">E8/D8-1</f>
        <v>0.0276194551949986</v>
      </c>
      <c r="F9" s="21" t="n">
        <f aca="false">F8/E8-1</f>
        <v>0.0277112528015488</v>
      </c>
      <c r="G9" s="21" t="n">
        <f aca="false">G8/F8-1</f>
        <v>0.027803459280755</v>
      </c>
    </row>
    <row r="11" customFormat="false" ht="15" hidden="false" customHeight="false" outlineLevel="0" collapsed="false">
      <c r="A11" s="5" t="s">
        <v>135</v>
      </c>
      <c r="B11" s="18" t="n">
        <f aca="false">B8*Inputs!B$41</f>
        <v>25847.5</v>
      </c>
      <c r="C11" s="18" t="n">
        <f aca="false">C8*Inputs!C$41</f>
        <v>27142.36</v>
      </c>
      <c r="D11" s="18" t="n">
        <f aca="false">D8*Inputs!D$41</f>
        <v>28328.4624</v>
      </c>
      <c r="E11" s="18" t="n">
        <f aca="false">E8*Inputs!E$41</f>
        <v>29458.817892</v>
      </c>
      <c r="F11" s="18" t="n">
        <f aca="false">F8*Inputs!F$41</f>
        <v>30513.54571776</v>
      </c>
      <c r="G11" s="18" t="n">
        <f aca="false">G8*Inputs!G$41</f>
        <v>31606.9429049136</v>
      </c>
    </row>
    <row r="12" customFormat="false" ht="15" hidden="false" customHeight="false" outlineLevel="0" collapsed="false">
      <c r="A12" s="5" t="s">
        <v>136</v>
      </c>
      <c r="B12" s="17" t="n">
        <f aca="false">Inputs!B$46</f>
        <v>0</v>
      </c>
      <c r="C12" s="17" t="n">
        <f aca="false">Inputs!C$46</f>
        <v>0</v>
      </c>
      <c r="D12" s="17" t="n">
        <f aca="false">Inputs!D$46</f>
        <v>0</v>
      </c>
      <c r="E12" s="17" t="n">
        <f aca="false">Inputs!E$46</f>
        <v>0</v>
      </c>
      <c r="F12" s="17" t="n">
        <f aca="false">Inputs!F$46</f>
        <v>0</v>
      </c>
      <c r="G12" s="17" t="n">
        <f aca="false">Inputs!G$46</f>
        <v>0</v>
      </c>
    </row>
    <row r="13" customFormat="false" ht="15" hidden="false" customHeight="false" outlineLevel="0" collapsed="false">
      <c r="A13" s="19" t="s">
        <v>137</v>
      </c>
      <c r="B13" s="20" t="n">
        <f aca="false">B11+B12</f>
        <v>25847.5</v>
      </c>
      <c r="C13" s="20" t="n">
        <f aca="false">C11+C12</f>
        <v>27142.36</v>
      </c>
      <c r="D13" s="20" t="n">
        <f aca="false">D11+D12</f>
        <v>28328.4624</v>
      </c>
      <c r="E13" s="20" t="n">
        <f aca="false">E11+E12</f>
        <v>29458.817892</v>
      </c>
      <c r="F13" s="20" t="n">
        <f aca="false">F11+F12</f>
        <v>30513.54571776</v>
      </c>
      <c r="G13" s="20" t="n">
        <f aca="false">G11+G12</f>
        <v>31606.9429049136</v>
      </c>
    </row>
    <row r="14" customFormat="false" ht="15" hidden="false" customHeight="false" outlineLevel="0" collapsed="false">
      <c r="A14" s="5" t="s">
        <v>138</v>
      </c>
      <c r="B14" s="21" t="n">
        <f aca="false">B13/B8</f>
        <v>0.245</v>
      </c>
      <c r="C14" s="21" t="n">
        <f aca="false">C13/C8</f>
        <v>0.248</v>
      </c>
      <c r="D14" s="21" t="n">
        <f aca="false">D13/D8</f>
        <v>0.251</v>
      </c>
      <c r="E14" s="21" t="n">
        <f aca="false">E13/E8</f>
        <v>0.254</v>
      </c>
      <c r="F14" s="21" t="n">
        <f aca="false">F13/F8</f>
        <v>0.256</v>
      </c>
      <c r="G14" s="21" t="n">
        <f aca="false">G13/G8</f>
        <v>0.258</v>
      </c>
    </row>
    <row r="15" customFormat="false" ht="15" hidden="false" customHeight="false" outlineLevel="0" collapsed="false">
      <c r="A15" s="5" t="s">
        <v>139</v>
      </c>
      <c r="B15" s="17" t="n">
        <f aca="false">-Inputs!B$51</f>
        <v>-1400</v>
      </c>
      <c r="C15" s="17" t="n">
        <f aca="false">-Inputs!C$51</f>
        <v>-1400</v>
      </c>
      <c r="D15" s="17" t="n">
        <f aca="false">-Inputs!D$51</f>
        <v>-1400</v>
      </c>
      <c r="E15" s="17" t="n">
        <f aca="false">-Inputs!E$51</f>
        <v>-1400</v>
      </c>
      <c r="F15" s="17" t="n">
        <f aca="false">-Inputs!F$51</f>
        <v>-1400</v>
      </c>
      <c r="G15" s="17" t="n">
        <f aca="false">-Inputs!G$51</f>
        <v>-1400</v>
      </c>
    </row>
    <row r="16" customFormat="false" ht="15" hidden="false" customHeight="false" outlineLevel="0" collapsed="false">
      <c r="A16" s="5" t="s">
        <v>140</v>
      </c>
      <c r="B16" s="17" t="n">
        <f aca="false">-Inputs!B$56</f>
        <v>-300</v>
      </c>
      <c r="C16" s="17" t="n">
        <f aca="false">-Inputs!C$56</f>
        <v>-200</v>
      </c>
      <c r="D16" s="17" t="n">
        <f aca="false">-Inputs!D$56</f>
        <v>-100</v>
      </c>
      <c r="E16" s="17" t="n">
        <f aca="false">-Inputs!E$56</f>
        <v>-0</v>
      </c>
      <c r="F16" s="17" t="n">
        <f aca="false">-Inputs!F$56</f>
        <v>-0</v>
      </c>
      <c r="G16" s="17" t="n">
        <f aca="false">-Inputs!G$56</f>
        <v>-0</v>
      </c>
    </row>
    <row r="17" customFormat="false" ht="15" hidden="false" customHeight="false" outlineLevel="0" collapsed="false">
      <c r="A17" s="5" t="s">
        <v>141</v>
      </c>
      <c r="B17" s="18" t="n">
        <f aca="false">B13+B15+B16</f>
        <v>24147.5</v>
      </c>
      <c r="C17" s="18" t="n">
        <f aca="false">C13+C15+C16</f>
        <v>25542.36</v>
      </c>
      <c r="D17" s="18" t="n">
        <f aca="false">D13+D15+D16</f>
        <v>26828.4624</v>
      </c>
      <c r="E17" s="18" t="n">
        <f aca="false">E13+E15+E16</f>
        <v>28058.817892</v>
      </c>
      <c r="F17" s="18" t="n">
        <f aca="false">F13+F15+F16</f>
        <v>29113.54571776</v>
      </c>
      <c r="G17" s="18" t="n">
        <f aca="false">G13+G15+G16</f>
        <v>30206.9429049136</v>
      </c>
    </row>
    <row r="18" customFormat="false" ht="15" hidden="false" customHeight="false" outlineLevel="0" collapsed="false">
      <c r="A18" s="5" t="s">
        <v>142</v>
      </c>
      <c r="B18" s="17" t="n">
        <f aca="false">-Inputs!B$71</f>
        <v>-5600</v>
      </c>
      <c r="C18" s="17" t="n">
        <f aca="false">-Inputs!C$71</f>
        <v>-5600</v>
      </c>
      <c r="D18" s="17" t="n">
        <f aca="false">-Inputs!D$71</f>
        <v>-5600</v>
      </c>
      <c r="E18" s="17" t="n">
        <f aca="false">-Inputs!E$71</f>
        <v>-5600</v>
      </c>
      <c r="F18" s="17" t="n">
        <f aca="false">-Inputs!F$71</f>
        <v>-5600</v>
      </c>
      <c r="G18" s="17" t="n">
        <f aca="false">-Inputs!G$71</f>
        <v>-5600</v>
      </c>
    </row>
    <row r="19" customFormat="false" ht="15" hidden="false" customHeight="false" outlineLevel="0" collapsed="false">
      <c r="A19" s="5" t="s">
        <v>143</v>
      </c>
      <c r="B19" s="18" t="n">
        <f aca="false">B17+B18</f>
        <v>18547.5</v>
      </c>
      <c r="C19" s="18" t="n">
        <f aca="false">C17+C18</f>
        <v>19942.36</v>
      </c>
      <c r="D19" s="18" t="n">
        <f aca="false">D17+D18</f>
        <v>21228.4624</v>
      </c>
      <c r="E19" s="18" t="n">
        <f aca="false">E17+E18</f>
        <v>22458.817892</v>
      </c>
      <c r="F19" s="18" t="n">
        <f aca="false">F17+F18</f>
        <v>23513.54571776</v>
      </c>
      <c r="G19" s="18" t="n">
        <f aca="false">G17+G18</f>
        <v>24606.9429049136</v>
      </c>
    </row>
    <row r="20" customFormat="false" ht="15" hidden="false" customHeight="false" outlineLevel="0" collapsed="false">
      <c r="A20" s="5" t="s">
        <v>144</v>
      </c>
      <c r="B20" s="18" t="n">
        <f aca="false">-MAX(0,B19)*Inputs!$B$82</f>
        <v>-4265.925</v>
      </c>
      <c r="C20" s="18" t="n">
        <f aca="false">-MAX(0,C19)*Inputs!$B$82</f>
        <v>-4586.7428</v>
      </c>
      <c r="D20" s="18" t="n">
        <f aca="false">-MAX(0,D19)*Inputs!$B$82</f>
        <v>-4882.546352</v>
      </c>
      <c r="E20" s="18" t="n">
        <f aca="false">-MAX(0,E19)*Inputs!$B$82</f>
        <v>-5165.52811516</v>
      </c>
      <c r="F20" s="18" t="n">
        <f aca="false">-MAX(0,F19)*Inputs!$B$82</f>
        <v>-5408.1155150848</v>
      </c>
      <c r="G20" s="18" t="n">
        <f aca="false">-MAX(0,G19)*Inputs!$B$82</f>
        <v>-5659.59686813013</v>
      </c>
    </row>
    <row r="21" customFormat="false" ht="15" hidden="false" customHeight="false" outlineLevel="0" collapsed="false">
      <c r="A21" s="5" t="s">
        <v>145</v>
      </c>
      <c r="B21" s="18" t="n">
        <f aca="false">-B8*Inputs!B$61</f>
        <v>-8967.5</v>
      </c>
      <c r="C21" s="18" t="n">
        <f aca="false">-C8*Inputs!C$61</f>
        <v>-8755.6</v>
      </c>
      <c r="D21" s="18" t="n">
        <f aca="false">-D8*Inputs!D$61</f>
        <v>-8464.68</v>
      </c>
      <c r="E21" s="18" t="n">
        <f aca="false">-E8*Inputs!E$61</f>
        <v>-8118.57186</v>
      </c>
      <c r="F21" s="18" t="n">
        <f aca="false">-F8*Inputs!F$61</f>
        <v>-8343.5476572</v>
      </c>
      <c r="G21" s="18" t="n">
        <f aca="false">-G8*Inputs!G$61</f>
        <v>-8575.527144744</v>
      </c>
    </row>
    <row r="22" customFormat="false" ht="15" hidden="false" customHeight="false" outlineLevel="0" collapsed="false">
      <c r="A22" s="5" t="s">
        <v>146</v>
      </c>
      <c r="B22" s="18" t="n">
        <f aca="false">-B8*Inputs!B$66</f>
        <v>-527.5</v>
      </c>
      <c r="C22" s="18" t="n">
        <f aca="false">-C8*Inputs!C$66</f>
        <v>-547.225</v>
      </c>
      <c r="D22" s="18" t="n">
        <f aca="false">-D8*Inputs!D$66</f>
        <v>-564.312</v>
      </c>
      <c r="E22" s="18" t="n">
        <f aca="false">-E8*Inputs!E$66</f>
        <v>-579.89799</v>
      </c>
      <c r="F22" s="18" t="n">
        <f aca="false">-F8*Inputs!F$66</f>
        <v>-595.9676898</v>
      </c>
      <c r="G22" s="18" t="n">
        <f aca="false">-G8*Inputs!G$66</f>
        <v>-612.537653196</v>
      </c>
    </row>
    <row r="23" customFormat="false" ht="15" hidden="false" customHeight="false" outlineLevel="0" collapsed="false">
      <c r="A23" s="19" t="s">
        <v>147</v>
      </c>
      <c r="B23" s="20" t="n">
        <f aca="false">B17+B20+B21+B22</f>
        <v>10386.575</v>
      </c>
      <c r="C23" s="20" t="n">
        <f aca="false">C17+C20+C21+C22</f>
        <v>11652.7922</v>
      </c>
      <c r="D23" s="20" t="n">
        <f aca="false">D17+D20+D21+D22</f>
        <v>12916.924048</v>
      </c>
      <c r="E23" s="20" t="n">
        <f aca="false">E17+E20+E21+E22</f>
        <v>14194.81992684</v>
      </c>
      <c r="F23" s="20" t="n">
        <f aca="false">F17+F20+F21+F22</f>
        <v>14765.9148556752</v>
      </c>
      <c r="G23" s="20" t="n">
        <f aca="false">G17+G20+G21+G22</f>
        <v>15359.2812388435</v>
      </c>
    </row>
    <row r="24" customFormat="false" ht="15" hidden="false" customHeight="false" outlineLevel="0" collapsed="false">
      <c r="A24" s="5" t="s">
        <v>148</v>
      </c>
      <c r="B24" s="21" t="n">
        <f aca="false">B23/B13</f>
        <v>0.401840603539994</v>
      </c>
      <c r="C24" s="21" t="n">
        <f aca="false">C23/C13</f>
        <v>0.429321260199924</v>
      </c>
      <c r="D24" s="21" t="n">
        <f aca="false">D23/D13</f>
        <v>0.455969825174839</v>
      </c>
      <c r="E24" s="21" t="n">
        <f aca="false">E23/E13</f>
        <v>0.48185300506219</v>
      </c>
      <c r="F24" s="21" t="n">
        <f aca="false">F23/F13</f>
        <v>0.483913439370663</v>
      </c>
      <c r="G24" s="21" t="n">
        <f aca="false">G23/G13</f>
        <v>0.485946435409789</v>
      </c>
    </row>
    <row r="26" customFormat="false" ht="15" hidden="false" customHeight="false" outlineLevel="0" collapsed="false">
      <c r="A26" s="2" t="s">
        <v>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s>
  <sheetData>
    <row r="1" customFormat="false" ht="17.35" hidden="false" customHeight="false" outlineLevel="0" collapsed="false">
      <c r="A1" s="1" t="s">
        <v>150</v>
      </c>
    </row>
    <row r="2" customFormat="false" ht="15" hidden="false" customHeight="false" outlineLevel="0" collapsed="false">
      <c r="A2" s="2" t="s">
        <v>1</v>
      </c>
    </row>
    <row r="4" customFormat="false" ht="15" hidden="false" customHeight="false" outlineLevel="0" collapsed="false">
      <c r="A4" s="7" t="s">
        <v>151</v>
      </c>
      <c r="B4" s="8" t="s">
        <v>12</v>
      </c>
      <c r="C4" s="8" t="s">
        <v>152</v>
      </c>
    </row>
    <row r="5" customFormat="false" ht="15" hidden="false" customHeight="false" outlineLevel="0" collapsed="false">
      <c r="A5" s="5" t="s">
        <v>153</v>
      </c>
      <c r="B5" s="12" t="n">
        <v>0.0495</v>
      </c>
      <c r="C5" s="10" t="s">
        <v>154</v>
      </c>
    </row>
    <row r="6" customFormat="false" ht="15" hidden="false" customHeight="false" outlineLevel="0" collapsed="false">
      <c r="A6" s="5" t="s">
        <v>155</v>
      </c>
      <c r="B6" s="12" t="n">
        <v>0.045</v>
      </c>
      <c r="C6" s="10" t="s">
        <v>156</v>
      </c>
    </row>
    <row r="7" customFormat="false" ht="15" hidden="false" customHeight="false" outlineLevel="0" collapsed="false">
      <c r="A7" s="5" t="s">
        <v>157</v>
      </c>
      <c r="B7" s="22" t="n">
        <v>1.05</v>
      </c>
      <c r="C7" s="10" t="s">
        <v>158</v>
      </c>
    </row>
    <row r="8" customFormat="false" ht="15" hidden="false" customHeight="false" outlineLevel="0" collapsed="false">
      <c r="A8" s="5" t="s">
        <v>159</v>
      </c>
      <c r="B8" s="17" t="n">
        <f aca="false">Inputs!$B$74*Inputs!$B$75</f>
        <v>190246.32</v>
      </c>
      <c r="C8" s="10" t="s">
        <v>160</v>
      </c>
    </row>
    <row r="9" customFormat="false" ht="15" hidden="false" customHeight="false" outlineLevel="0" collapsed="false">
      <c r="A9" s="5" t="s">
        <v>161</v>
      </c>
      <c r="B9" s="17" t="n">
        <f aca="false">Inputs!$B$76-Inputs!$B$77</f>
        <v>40856</v>
      </c>
      <c r="C9" s="10" t="s">
        <v>162</v>
      </c>
    </row>
    <row r="10" customFormat="false" ht="15" hidden="false" customHeight="false" outlineLevel="0" collapsed="false">
      <c r="A10" s="5" t="s">
        <v>163</v>
      </c>
      <c r="B10" s="23" t="n">
        <f aca="false">B9/B8</f>
        <v>0.214753168418711</v>
      </c>
      <c r="C10" s="10"/>
    </row>
    <row r="11" customFormat="false" ht="15" hidden="false" customHeight="false" outlineLevel="0" collapsed="false">
      <c r="A11" s="5" t="s">
        <v>164</v>
      </c>
      <c r="B11" s="24" t="n">
        <f aca="false">Inputs!$B$82</f>
        <v>0.23</v>
      </c>
      <c r="C11" s="10"/>
    </row>
    <row r="12" customFormat="false" ht="15" hidden="false" customHeight="false" outlineLevel="0" collapsed="false">
      <c r="A12" s="5" t="s">
        <v>165</v>
      </c>
      <c r="B12" s="23" t="n">
        <f aca="false">B7*(1+(1-B11)*B10)</f>
        <v>1.22362793666653</v>
      </c>
      <c r="C12" s="10" t="s">
        <v>166</v>
      </c>
    </row>
    <row r="13" customFormat="false" ht="15" hidden="false" customHeight="false" outlineLevel="0" collapsed="false">
      <c r="A13" s="5" t="s">
        <v>167</v>
      </c>
      <c r="B13" s="21" t="n">
        <f aca="false">B5+B12*B6</f>
        <v>0.104563257149994</v>
      </c>
      <c r="C13" s="10" t="s">
        <v>168</v>
      </c>
    </row>
    <row r="14" customFormat="false" ht="15" hidden="false" customHeight="false" outlineLevel="0" collapsed="false">
      <c r="A14" s="5" t="s">
        <v>169</v>
      </c>
      <c r="B14" s="12" t="n">
        <v>0.05</v>
      </c>
      <c r="C14" s="10" t="s">
        <v>170</v>
      </c>
    </row>
    <row r="15" customFormat="false" ht="15" hidden="false" customHeight="false" outlineLevel="0" collapsed="false">
      <c r="A15" s="5" t="s">
        <v>171</v>
      </c>
      <c r="B15" s="21" t="n">
        <f aca="false">B14*(1-B11)</f>
        <v>0.0385</v>
      </c>
      <c r="C15" s="10"/>
    </row>
    <row r="16" customFormat="false" ht="15" hidden="false" customHeight="false" outlineLevel="0" collapsed="false">
      <c r="A16" s="5" t="s">
        <v>172</v>
      </c>
      <c r="B16" s="21" t="n">
        <f aca="false">B8/(B8+B9)</f>
        <v>0.823212506044941</v>
      </c>
      <c r="C16" s="10" t="s">
        <v>173</v>
      </c>
    </row>
    <row r="17" customFormat="false" ht="15" hidden="false" customHeight="false" outlineLevel="0" collapsed="false">
      <c r="A17" s="5" t="s">
        <v>174</v>
      </c>
      <c r="B17" s="21" t="n">
        <f aca="false">B9/(B8+B9)</f>
        <v>0.176787493955059</v>
      </c>
      <c r="C17" s="10"/>
    </row>
    <row r="18" customFormat="false" ht="15" hidden="false" customHeight="false" outlineLevel="0" collapsed="false">
      <c r="A18" s="4" t="s">
        <v>175</v>
      </c>
      <c r="B18" s="25" t="n">
        <f aca="false">B16*B13+B17*B15</f>
        <v>0.0928840994759378</v>
      </c>
      <c r="C18" s="10"/>
    </row>
    <row r="20" customFormat="false" ht="15" hidden="false" customHeight="false" outlineLevel="0" collapsed="false">
      <c r="A20" s="2"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7" min="2" style="0" width="12"/>
    <col collapsed="false" customWidth="true" hidden="false" outlineLevel="0" max="8" min="8" style="0" width="40"/>
  </cols>
  <sheetData>
    <row r="1" customFormat="false" ht="17.35" hidden="false" customHeight="false" outlineLevel="0" collapsed="false">
      <c r="A1" s="1" t="s">
        <v>177</v>
      </c>
    </row>
    <row r="2" customFormat="false" ht="15" hidden="false" customHeight="false" outlineLevel="0" collapsed="false">
      <c r="A2" s="2" t="s">
        <v>1</v>
      </c>
    </row>
    <row r="4" customFormat="false" ht="15" hidden="false" customHeight="false" outlineLevel="0" collapsed="false">
      <c r="A4" s="7" t="s">
        <v>112</v>
      </c>
      <c r="B4" s="8" t="s">
        <v>35</v>
      </c>
      <c r="C4" s="8" t="s">
        <v>36</v>
      </c>
      <c r="D4" s="8" t="s">
        <v>37</v>
      </c>
      <c r="E4" s="8" t="s">
        <v>38</v>
      </c>
      <c r="F4" s="8" t="s">
        <v>39</v>
      </c>
      <c r="G4" s="8" t="s">
        <v>40</v>
      </c>
      <c r="H4" s="8" t="s">
        <v>41</v>
      </c>
    </row>
    <row r="5" customFormat="false" ht="15" hidden="false" customHeight="false" outlineLevel="0" collapsed="false">
      <c r="A5" s="5" t="s">
        <v>147</v>
      </c>
      <c r="B5" s="17" t="n">
        <f aca="false">Forecast!B23</f>
        <v>10386.575</v>
      </c>
      <c r="C5" s="17" t="n">
        <f aca="false">Forecast!C23</f>
        <v>11652.7922</v>
      </c>
      <c r="D5" s="17" t="n">
        <f aca="false">Forecast!D23</f>
        <v>12916.924048</v>
      </c>
      <c r="E5" s="17" t="n">
        <f aca="false">Forecast!E23</f>
        <v>14194.81992684</v>
      </c>
      <c r="F5" s="17" t="n">
        <f aca="false">Forecast!F23</f>
        <v>14765.9148556752</v>
      </c>
      <c r="G5" s="17" t="n">
        <f aca="false">Forecast!G23</f>
        <v>15359.2812388435</v>
      </c>
    </row>
    <row r="6" customFormat="false" ht="15" hidden="false" customHeight="false" outlineLevel="0" collapsed="false">
      <c r="A6" s="5" t="s">
        <v>178</v>
      </c>
      <c r="B6" s="24" t="n">
        <f aca="false">Inputs!$B$79</f>
        <v>0.94</v>
      </c>
      <c r="C6" s="12" t="n">
        <v>1</v>
      </c>
      <c r="D6" s="12" t="n">
        <v>1</v>
      </c>
      <c r="E6" s="12" t="n">
        <v>1</v>
      </c>
      <c r="F6" s="12" t="n">
        <v>1</v>
      </c>
      <c r="G6" s="12" t="n">
        <v>1</v>
      </c>
    </row>
    <row r="7" customFormat="false" ht="15" hidden="false" customHeight="false" outlineLevel="0" collapsed="false">
      <c r="A7" s="5" t="s">
        <v>179</v>
      </c>
      <c r="B7" s="18" t="n">
        <f aca="false">B5*B6</f>
        <v>9763.3805</v>
      </c>
      <c r="C7" s="18" t="n">
        <f aca="false">C5*C6</f>
        <v>11652.7922</v>
      </c>
      <c r="D7" s="18" t="n">
        <f aca="false">D5*D6</f>
        <v>12916.924048</v>
      </c>
      <c r="E7" s="18" t="n">
        <f aca="false">E5*E6</f>
        <v>14194.81992684</v>
      </c>
      <c r="F7" s="18" t="n">
        <f aca="false">F5*F6</f>
        <v>14765.9148556752</v>
      </c>
      <c r="G7" s="18" t="n">
        <f aca="false">G5*G6</f>
        <v>15359.2812388435</v>
      </c>
    </row>
    <row r="8" customFormat="false" ht="15" hidden="false" customHeight="false" outlineLevel="0" collapsed="false">
      <c r="A8" s="5" t="s">
        <v>180</v>
      </c>
      <c r="B8" s="23" t="n">
        <f aca="false">B6/2</f>
        <v>0.47</v>
      </c>
      <c r="C8" s="23" t="n">
        <f aca="false">B6+1-0.5</f>
        <v>1.44</v>
      </c>
      <c r="D8" s="23" t="n">
        <f aca="false">B6+2-0.5</f>
        <v>2.44</v>
      </c>
      <c r="E8" s="23" t="n">
        <f aca="false">B6+3-0.5</f>
        <v>3.44</v>
      </c>
      <c r="F8" s="23" t="n">
        <f aca="false">B6+4-0.5</f>
        <v>4.44</v>
      </c>
      <c r="G8" s="23" t="n">
        <f aca="false">B6+5-0.5</f>
        <v>5.44</v>
      </c>
    </row>
    <row r="9" customFormat="false" ht="15" hidden="false" customHeight="false" outlineLevel="0" collapsed="false">
      <c r="A9" s="5" t="s">
        <v>181</v>
      </c>
      <c r="B9" s="26" t="n">
        <f aca="false">1/(1+WACC!$B$18)^B8</f>
        <v>0.959113865670034</v>
      </c>
      <c r="C9" s="26" t="n">
        <f aca="false">1/(1+WACC!$B$18)^C8</f>
        <v>0.879940456278424</v>
      </c>
      <c r="D9" s="26" t="n">
        <f aca="false">1/(1+WACC!$B$18)^D8</f>
        <v>0.805154413629382</v>
      </c>
      <c r="E9" s="26" t="n">
        <f aca="false">1/(1+WACC!$B$18)^E8</f>
        <v>0.736724428524005</v>
      </c>
      <c r="F9" s="26" t="n">
        <f aca="false">1/(1+WACC!$B$18)^F8</f>
        <v>0.674110300330365</v>
      </c>
      <c r="G9" s="26" t="n">
        <f aca="false">1/(1+WACC!$B$18)^G8</f>
        <v>0.616817740008859</v>
      </c>
    </row>
    <row r="10" customFormat="false" ht="15" hidden="false" customHeight="false" outlineLevel="0" collapsed="false">
      <c r="A10" s="4" t="s">
        <v>182</v>
      </c>
      <c r="B10" s="11" t="n">
        <f aca="false">B7*B9</f>
        <v>9364.19361336243</v>
      </c>
      <c r="C10" s="11" t="n">
        <f aca="false">C7*C9</f>
        <v>10253.7632853857</v>
      </c>
      <c r="D10" s="11" t="n">
        <f aca="false">D7*D9</f>
        <v>10400.1184077627</v>
      </c>
      <c r="E10" s="11" t="n">
        <f aca="false">E7*E9</f>
        <v>10457.6705986024</v>
      </c>
      <c r="F10" s="11" t="n">
        <f aca="false">F7*F9</f>
        <v>9953.85529801181</v>
      </c>
      <c r="G10" s="11" t="n">
        <f aca="false">G7*G9</f>
        <v>9473.8771419039</v>
      </c>
    </row>
    <row r="12" customFormat="false" ht="15" hidden="false" customHeight="false" outlineLevel="0" collapsed="false">
      <c r="A12" s="4" t="s">
        <v>183</v>
      </c>
    </row>
    <row r="13" customFormat="false" ht="15" hidden="false" customHeight="false" outlineLevel="0" collapsed="false">
      <c r="A13" s="5" t="s">
        <v>184</v>
      </c>
      <c r="B13" s="24" t="n">
        <f aca="false">Inputs!$B$80</f>
        <v>0.02</v>
      </c>
    </row>
    <row r="14" customFormat="false" ht="15" hidden="false" customHeight="false" outlineLevel="0" collapsed="false">
      <c r="A14" s="5" t="s">
        <v>185</v>
      </c>
      <c r="B14" s="18" t="n">
        <f aca="false">G5*(1+B13)</f>
        <v>15666.4668636203</v>
      </c>
    </row>
    <row r="15" customFormat="false" ht="15" hidden="false" customHeight="false" outlineLevel="0" collapsed="false">
      <c r="A15" s="5" t="s">
        <v>186</v>
      </c>
      <c r="B15" s="18" t="n">
        <f aca="false">B14/(WACC!B18-B13)</f>
        <v>214950.407239271</v>
      </c>
    </row>
    <row r="16" customFormat="false" ht="15" hidden="false" customHeight="false" outlineLevel="0" collapsed="false">
      <c r="A16" s="5" t="s">
        <v>187</v>
      </c>
      <c r="B16" s="26" t="n">
        <f aca="false">1/(1+WACC!B18)^(B6+5)</f>
        <v>0.590024169234962</v>
      </c>
    </row>
    <row r="17" customFormat="false" ht="15" hidden="false" customHeight="false" outlineLevel="0" collapsed="false">
      <c r="A17" s="5" t="s">
        <v>188</v>
      </c>
      <c r="B17" s="18" t="n">
        <f aca="false">B15*B16</f>
        <v>126825.935458068</v>
      </c>
    </row>
    <row r="18" customFormat="false" ht="15" hidden="false" customHeight="false" outlineLevel="0" collapsed="false">
      <c r="A18" s="5" t="s">
        <v>189</v>
      </c>
      <c r="B18" s="27" t="n">
        <f aca="false">B15/Forecast!G13</f>
        <v>6.80073387312174</v>
      </c>
    </row>
    <row r="20" customFormat="false" ht="15" hidden="false" customHeight="false" outlineLevel="0" collapsed="false">
      <c r="A20" s="4" t="s">
        <v>190</v>
      </c>
    </row>
    <row r="21" customFormat="false" ht="15" hidden="false" customHeight="false" outlineLevel="0" collapsed="false">
      <c r="A21" s="5" t="s">
        <v>191</v>
      </c>
      <c r="B21" s="28" t="n">
        <f aca="false">Inputs!$B$81</f>
        <v>10</v>
      </c>
    </row>
    <row r="22" customFormat="false" ht="15" hidden="false" customHeight="false" outlineLevel="0" collapsed="false">
      <c r="A22" s="5" t="s">
        <v>186</v>
      </c>
      <c r="B22" s="18" t="n">
        <f aca="false">B21*Forecast!G13</f>
        <v>316069.429049136</v>
      </c>
    </row>
    <row r="23" customFormat="false" ht="15" hidden="false" customHeight="false" outlineLevel="0" collapsed="false">
      <c r="A23" s="5" t="s">
        <v>188</v>
      </c>
      <c r="B23" s="18" t="n">
        <f aca="false">B22*B16</f>
        <v>186488.602295285</v>
      </c>
    </row>
    <row r="24" customFormat="false" ht="15" hidden="false" customHeight="false" outlineLevel="0" collapsed="false">
      <c r="A24" s="5" t="s">
        <v>192</v>
      </c>
      <c r="B24" s="21" t="n">
        <f aca="false">(B22*WACC!B18-G5)/(B22+G5)</f>
        <v>0.0422369656451789</v>
      </c>
    </row>
    <row r="26" customFormat="false" ht="15" hidden="false" customHeight="false" outlineLevel="0" collapsed="false">
      <c r="A26" s="7" t="s">
        <v>193</v>
      </c>
      <c r="B26" s="8" t="s">
        <v>194</v>
      </c>
      <c r="C26" s="8" t="s">
        <v>191</v>
      </c>
      <c r="D26" s="8"/>
      <c r="E26" s="8"/>
      <c r="F26" s="8"/>
      <c r="G26" s="8"/>
      <c r="H26" s="8" t="s">
        <v>41</v>
      </c>
    </row>
    <row r="27" customFormat="false" ht="15" hidden="false" customHeight="false" outlineLevel="0" collapsed="false">
      <c r="A27" s="5" t="s">
        <v>195</v>
      </c>
      <c r="B27" s="18" t="n">
        <f aca="false">SUM(B10:G10)</f>
        <v>59903.4783450288</v>
      </c>
      <c r="C27" s="18" t="n">
        <f aca="false">B27</f>
        <v>59903.4783450288</v>
      </c>
    </row>
    <row r="28" customFormat="false" ht="15" hidden="false" customHeight="false" outlineLevel="0" collapsed="false">
      <c r="A28" s="5" t="s">
        <v>188</v>
      </c>
      <c r="B28" s="18" t="n">
        <f aca="false">B17</f>
        <v>126825.935458068</v>
      </c>
      <c r="C28" s="18" t="n">
        <f aca="false">B23</f>
        <v>186488.602295285</v>
      </c>
    </row>
    <row r="29" customFormat="false" ht="15" hidden="false" customHeight="false" outlineLevel="0" collapsed="false">
      <c r="A29" s="19" t="s">
        <v>196</v>
      </c>
      <c r="B29" s="20" t="n">
        <f aca="false">B27+B28</f>
        <v>186729.413803096</v>
      </c>
      <c r="C29" s="20" t="n">
        <f aca="false">C27+C28</f>
        <v>246392.080640314</v>
      </c>
    </row>
    <row r="30" customFormat="false" ht="15" hidden="false" customHeight="false" outlineLevel="0" collapsed="false">
      <c r="A30" s="5" t="s">
        <v>197</v>
      </c>
      <c r="B30" s="21" t="n">
        <f aca="false">B28/B29</f>
        <v>0.679196345530243</v>
      </c>
      <c r="C30" s="21" t="n">
        <f aca="false">C28/C29</f>
        <v>0.75687741996677</v>
      </c>
    </row>
    <row r="31" customFormat="false" ht="15" hidden="false" customHeight="false" outlineLevel="0" collapsed="false">
      <c r="A31" s="5" t="s">
        <v>198</v>
      </c>
      <c r="B31" s="17" t="n">
        <f aca="false">-WACC!B9</f>
        <v>-40856</v>
      </c>
      <c r="C31" s="18" t="n">
        <f aca="false">B31</f>
        <v>-40856</v>
      </c>
    </row>
    <row r="32" customFormat="false" ht="15" hidden="false" customHeight="false" outlineLevel="0" collapsed="false">
      <c r="A32" s="5" t="s">
        <v>199</v>
      </c>
      <c r="B32" s="17" t="n">
        <f aca="false">-Inputs!$B$78</f>
        <v>-6810</v>
      </c>
      <c r="C32" s="18" t="n">
        <f aca="false">B32</f>
        <v>-6810</v>
      </c>
    </row>
    <row r="33" customFormat="false" ht="15" hidden="false" customHeight="false" outlineLevel="0" collapsed="false">
      <c r="A33" s="19" t="s">
        <v>200</v>
      </c>
      <c r="B33" s="20" t="n">
        <f aca="false">B29+B31+B32</f>
        <v>139063.413803096</v>
      </c>
      <c r="C33" s="20" t="n">
        <f aca="false">C29+C31+C32</f>
        <v>198726.080640314</v>
      </c>
    </row>
    <row r="34" customFormat="false" ht="15" hidden="false" customHeight="false" outlineLevel="0" collapsed="false">
      <c r="A34" s="5" t="s">
        <v>201</v>
      </c>
      <c r="B34" s="17" t="n">
        <f aca="false">Inputs!$B$75</f>
        <v>1727</v>
      </c>
      <c r="C34" s="18" t="n">
        <f aca="false">B34</f>
        <v>1727</v>
      </c>
    </row>
    <row r="35" customFormat="false" ht="15" hidden="false" customHeight="false" outlineLevel="0" collapsed="false">
      <c r="A35" s="19" t="s">
        <v>202</v>
      </c>
      <c r="B35" s="29" t="n">
        <f aca="false">B33/B34</f>
        <v>80.5231116404727</v>
      </c>
      <c r="C35" s="29" t="n">
        <f aca="false">C33/C34</f>
        <v>115.070110388138</v>
      </c>
      <c r="H35" s="10" t="s">
        <v>203</v>
      </c>
    </row>
    <row r="36" customFormat="false" ht="15" hidden="false" customHeight="false" outlineLevel="0" collapsed="false">
      <c r="A36" s="5" t="s">
        <v>204</v>
      </c>
      <c r="B36" s="30" t="n">
        <f aca="false">Inputs!$B$74</f>
        <v>110.16</v>
      </c>
      <c r="C36" s="31" t="n">
        <f aca="false">B36</f>
        <v>110.16</v>
      </c>
    </row>
    <row r="37" customFormat="false" ht="15" hidden="false" customHeight="false" outlineLevel="0" collapsed="false">
      <c r="A37" s="5" t="s">
        <v>205</v>
      </c>
      <c r="B37" s="21" t="n">
        <f aca="false">B35/B36-1</f>
        <v>-0.269034934273124</v>
      </c>
      <c r="C37" s="21" t="n">
        <f aca="false">C35/C36-1</f>
        <v>0.0445725343875987</v>
      </c>
    </row>
    <row r="38" customFormat="false" ht="15" hidden="false" customHeight="false" outlineLevel="0" collapsed="false">
      <c r="A38" s="5" t="s">
        <v>206</v>
      </c>
      <c r="B38" s="18" t="n">
        <f aca="false">WACC!B8+WACC!B9+Inputs!$B$78</f>
        <v>237912.32</v>
      </c>
    </row>
    <row r="39" customFormat="false" ht="15" hidden="false" customHeight="false" outlineLevel="0" collapsed="false">
      <c r="A39" s="5" t="s">
        <v>207</v>
      </c>
      <c r="B39" s="27" t="n">
        <f aca="false">B38/Forecast!B13</f>
        <v>9.20446155334172</v>
      </c>
    </row>
    <row r="40" customFormat="false" ht="15" hidden="false" customHeight="false" outlineLevel="0" collapsed="false">
      <c r="A40" s="5" t="s">
        <v>208</v>
      </c>
      <c r="B40" s="27" t="n">
        <f aca="false">B29/Forecast!B13</f>
        <v>7.22427367455639</v>
      </c>
      <c r="C40" s="27" t="n">
        <f aca="false">C29/Forecast!B13</f>
        <v>9.53253044357536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1"/>
  </cols>
  <sheetData>
    <row r="1" customFormat="false" ht="17.35" hidden="false" customHeight="false" outlineLevel="0" collapsed="false">
      <c r="A1" s="1" t="s">
        <v>209</v>
      </c>
    </row>
    <row r="2" customFormat="false" ht="15" hidden="false" customHeight="false" outlineLevel="0" collapsed="false">
      <c r="A2" s="2" t="s">
        <v>1</v>
      </c>
    </row>
    <row r="4" customFormat="false" ht="15" hidden="false" customHeight="false" outlineLevel="0" collapsed="false">
      <c r="A4" s="4" t="s">
        <v>210</v>
      </c>
    </row>
    <row r="5" customFormat="false" ht="15" hidden="false" customHeight="false" outlineLevel="0" collapsed="false">
      <c r="A5" s="4" t="s">
        <v>211</v>
      </c>
      <c r="B5" s="12" t="n">
        <v>0.01</v>
      </c>
      <c r="C5" s="12" t="n">
        <v>0.015</v>
      </c>
      <c r="D5" s="12" t="n">
        <v>0.02</v>
      </c>
      <c r="E5" s="12" t="n">
        <v>0.025</v>
      </c>
      <c r="F5" s="12" t="n">
        <v>0.03</v>
      </c>
    </row>
    <row r="6" customFormat="false" ht="15" hidden="false" customHeight="false" outlineLevel="0" collapsed="false">
      <c r="A6" s="12" t="n">
        <v>0.07</v>
      </c>
      <c r="B6" s="31" t="n">
        <f aca="false">((SUMPRODUCT(DCF!$B$7:$G$7/(1+$A6)^DCF!$B$8:$G$8)+DCF!$G$5*(1+B$5)/($A6-B$5)/(1+$A6)^(DCF!$B$6+5))+DCF!$B$31+DCF!$B$32)/DCF!$B$34</f>
        <v>109.50072894085</v>
      </c>
      <c r="C6" s="31" t="n">
        <f aca="false">((SUMPRODUCT(DCF!$B$7:$G$7/(1+$A6)^DCF!$B$8:$G$8)+DCF!$G$5*(1+C$5)/($A6-C$5)/(1+$A6)^(DCF!$B$6+5))+DCF!$B$31+DCF!$B$32)/DCF!$B$34</f>
        <v>119.147428609589</v>
      </c>
      <c r="D6" s="31" t="n">
        <f aca="false">((SUMPRODUCT(DCF!$B$7:$G$7/(1+$A6)^DCF!$B$8:$G$8)+DCF!$G$5*(1+D$5)/($A6-D$5)/(1+$A6)^(DCF!$B$6+5))+DCF!$B$31+DCF!$B$32)/DCF!$B$34</f>
        <v>130.723468212076</v>
      </c>
      <c r="E6" s="31" t="n">
        <f aca="false">((SUMPRODUCT(DCF!$B$7:$G$7/(1+$A6)^DCF!$B$8:$G$8)+DCF!$G$5*(1+E$5)/($A6-E$5)/(1+$A6)^(DCF!$B$6+5))+DCF!$B$31+DCF!$B$32)/DCF!$B$34</f>
        <v>144.87196105956</v>
      </c>
      <c r="F6" s="31" t="n">
        <f aca="false">((SUMPRODUCT(DCF!$B$7:$G$7/(1+$A6)^DCF!$B$8:$G$8)+DCF!$G$5*(1+F$5)/($A6-F$5)/(1+$A6)^(DCF!$B$6+5))+DCF!$B$31+DCF!$B$32)/DCF!$B$34</f>
        <v>162.557577118916</v>
      </c>
    </row>
    <row r="7" customFormat="false" ht="15" hidden="false" customHeight="false" outlineLevel="0" collapsed="false">
      <c r="A7" s="12" t="n">
        <v>0.075</v>
      </c>
      <c r="B7" s="31" t="n">
        <f aca="false">((SUMPRODUCT(DCF!$B$7:$G$7/(1+$A7)^DCF!$B$8:$G$8)+DCF!$G$5*(1+B$5)/($A7-B$5)/(1+$A7)^(DCF!$B$6+5))+DCF!$B$31+DCF!$B$32)/DCF!$B$34</f>
        <v>98.758459548148</v>
      </c>
      <c r="C7" s="31" t="n">
        <f aca="false">((SUMPRODUCT(DCF!$B$7:$G$7/(1+$A7)^DCF!$B$8:$G$8)+DCF!$G$5*(1+C$5)/($A7-C$5)/(1+$A7)^(DCF!$B$6+5))+DCF!$B$31+DCF!$B$32)/DCF!$B$34</f>
        <v>106.735212450681</v>
      </c>
      <c r="D7" s="31" t="n">
        <f aca="false">((SUMPRODUCT(DCF!$B$7:$G$7/(1+$A7)^DCF!$B$8:$G$8)+DCF!$G$5*(1+D$5)/($A7-D$5)/(1+$A7)^(DCF!$B$6+5))+DCF!$B$31+DCF!$B$32)/DCF!$B$34</f>
        <v>116.162284062765</v>
      </c>
      <c r="E7" s="31" t="n">
        <f aca="false">((SUMPRODUCT(DCF!$B$7:$G$7/(1+$A7)^DCF!$B$8:$G$8)+DCF!$G$5*(1+E$5)/($A7-E$5)/(1+$A7)^(DCF!$B$6+5))+DCF!$B$31+DCF!$B$32)/DCF!$B$34</f>
        <v>127.474769997266</v>
      </c>
      <c r="F7" s="31" t="n">
        <f aca="false">((SUMPRODUCT(DCF!$B$7:$G$7/(1+$A7)^DCF!$B$8:$G$8)+DCF!$G$5*(1+F$5)/($A7-F$5)/(1+$A7)^(DCF!$B$6+5))+DCF!$B$31+DCF!$B$32)/DCF!$B$34</f>
        <v>141.301141694989</v>
      </c>
    </row>
    <row r="8" customFormat="false" ht="15" hidden="false" customHeight="false" outlineLevel="0" collapsed="false">
      <c r="A8" s="12" t="n">
        <v>0.08</v>
      </c>
      <c r="B8" s="31" t="n">
        <f aca="false">((SUMPRODUCT(DCF!$B$7:$G$7/(1+$A8)^DCF!$B$8:$G$8)+DCF!$G$5*(1+B$5)/($A8-B$5)/(1+$A8)^(DCF!$B$6+5))+DCF!$B$31+DCF!$B$32)/DCF!$B$34</f>
        <v>89.56371235375</v>
      </c>
      <c r="C8" s="31" t="n">
        <f aca="false">((SUMPRODUCT(DCF!$B$7:$G$7/(1+$A8)^DCF!$B$8:$G$8)+DCF!$G$5*(1+C$5)/($A8-C$5)/(1+$A8)^(DCF!$B$6+5))+DCF!$B$31+DCF!$B$32)/DCF!$B$34</f>
        <v>96.2459791408536</v>
      </c>
      <c r="D8" s="31" t="n">
        <f aca="false">((SUMPRODUCT(DCF!$B$7:$G$7/(1+$A8)^DCF!$B$8:$G$8)+DCF!$G$5*(1+D$5)/($A8-D$5)/(1+$A8)^(DCF!$B$6+5))+DCF!$B$31+DCF!$B$32)/DCF!$B$34</f>
        <v>104.041957059141</v>
      </c>
      <c r="E8" s="31" t="n">
        <f aca="false">((SUMPRODUCT(DCF!$B$7:$G$7/(1+$A8)^DCF!$B$8:$G$8)+DCF!$G$5*(1+E$5)/($A8-E$5)/(1+$A8)^(DCF!$B$6+5))+DCF!$B$31+DCF!$B$32)/DCF!$B$34</f>
        <v>113.255385508026</v>
      </c>
      <c r="F8" s="31" t="n">
        <f aca="false">((SUMPRODUCT(DCF!$B$7:$G$7/(1+$A8)^DCF!$B$8:$G$8)+DCF!$G$5*(1+F$5)/($A8-F$5)/(1+$A8)^(DCF!$B$6+5))+DCF!$B$31+DCF!$B$32)/DCF!$B$34</f>
        <v>124.311499646689</v>
      </c>
    </row>
    <row r="9" customFormat="false" ht="15" hidden="false" customHeight="false" outlineLevel="0" collapsed="false">
      <c r="A9" s="12" t="n">
        <v>0.085</v>
      </c>
      <c r="B9" s="31" t="n">
        <f aca="false">((SUMPRODUCT(DCF!$B$7:$G$7/(1+$A9)^DCF!$B$8:$G$8)+DCF!$G$5*(1+B$5)/($A9-B$5)/(1+$A9)^(DCF!$B$6+5))+DCF!$B$31+DCF!$B$32)/DCF!$B$34</f>
        <v>81.6064519482224</v>
      </c>
      <c r="C9" s="31" t="n">
        <f aca="false">((SUMPRODUCT(DCF!$B$7:$G$7/(1+$A9)^DCF!$B$8:$G$8)+DCF!$G$5*(1+C$5)/($A9-C$5)/(1+$A9)^(DCF!$B$6+5))+DCF!$B$31+DCF!$B$32)/DCF!$B$34</f>
        <v>87.2671025515978</v>
      </c>
      <c r="D9" s="31" t="n">
        <f aca="false">((SUMPRODUCT(DCF!$B$7:$G$7/(1+$A9)^DCF!$B$8:$G$8)+DCF!$G$5*(1+D$5)/($A9-D$5)/(1+$A9)^(DCF!$B$6+5))+DCF!$B$31+DCF!$B$32)/DCF!$B$34</f>
        <v>93.7986224785696</v>
      </c>
      <c r="E9" s="31" t="n">
        <f aca="false">((SUMPRODUCT(DCF!$B$7:$G$7/(1+$A9)^DCF!$B$8:$G$8)+DCF!$G$5*(1+E$5)/($A9-E$5)/(1+$A9)^(DCF!$B$6+5))+DCF!$B$31+DCF!$B$32)/DCF!$B$34</f>
        <v>101.418729060037</v>
      </c>
      <c r="F9" s="31" t="n">
        <f aca="false">((SUMPRODUCT(DCF!$B$7:$G$7/(1+$A9)^DCF!$B$8:$G$8)+DCF!$G$5*(1+F$5)/($A9-F$5)/(1+$A9)^(DCF!$B$6+5))+DCF!$B$31+DCF!$B$32)/DCF!$B$34</f>
        <v>110.424309565407</v>
      </c>
    </row>
    <row r="10" customFormat="false" ht="15" hidden="false" customHeight="false" outlineLevel="0" collapsed="false">
      <c r="A10" s="12" t="n">
        <v>0.09</v>
      </c>
      <c r="B10" s="31" t="n">
        <f aca="false">((SUMPRODUCT(DCF!$B$7:$G$7/(1+$A10)^DCF!$B$8:$G$8)+DCF!$G$5*(1+B$5)/($A10-B$5)/(1+$A10)^(DCF!$B$6+5))+DCF!$B$31+DCF!$B$32)/DCF!$B$34</f>
        <v>74.6541752969659</v>
      </c>
      <c r="C10" s="31" t="n">
        <f aca="false">((SUMPRODUCT(DCF!$B$7:$G$7/(1+$A10)^DCF!$B$8:$G$8)+DCF!$G$5*(1+C$5)/($A10-C$5)/(1+$A10)^(DCF!$B$6+5))+DCF!$B$31+DCF!$B$32)/DCF!$B$34</f>
        <v>79.4960150215424</v>
      </c>
      <c r="D10" s="31" t="n">
        <f aca="false">((SUMPRODUCT(DCF!$B$7:$G$7/(1+$A10)^DCF!$B$8:$G$8)+DCF!$G$5*(1+D$5)/($A10-D$5)/(1+$A10)^(DCF!$B$6+5))+DCF!$B$31+DCF!$B$32)/DCF!$B$34</f>
        <v>85.029546135344</v>
      </c>
      <c r="E10" s="31" t="n">
        <f aca="false">((SUMPRODUCT(DCF!$B$7:$G$7/(1+$A10)^DCF!$B$8:$G$8)+DCF!$G$5*(1+E$5)/($A10-E$5)/(1+$A10)^(DCF!$B$6+5))+DCF!$B$31+DCF!$B$32)/DCF!$B$34</f>
        <v>91.4143897281921</v>
      </c>
      <c r="F10" s="31" t="n">
        <f aca="false">((SUMPRODUCT(DCF!$B$7:$G$7/(1+$A10)^DCF!$B$8:$G$8)+DCF!$G$5*(1+F$5)/($A10-F$5)/(1+$A10)^(DCF!$B$6+5))+DCF!$B$31+DCF!$B$32)/DCF!$B$34</f>
        <v>98.8633739198482</v>
      </c>
    </row>
    <row r="11" customFormat="false" ht="15" hidden="false" customHeight="false" outlineLevel="0" collapsed="false">
      <c r="A11" s="12" t="n">
        <v>0.095</v>
      </c>
      <c r="B11" s="31" t="n">
        <f aca="false">((SUMPRODUCT(DCF!$B$7:$G$7/(1+$A11)^DCF!$B$8:$G$8)+DCF!$G$5*(1+B$5)/($A11-B$5)/(1+$A11)^(DCF!$B$6+5))+DCF!$B$31+DCF!$B$32)/DCF!$B$34</f>
        <v>68.5291069778433</v>
      </c>
      <c r="C11" s="31" t="n">
        <f aca="false">((SUMPRODUCT(DCF!$B$7:$G$7/(1+$A11)^DCF!$B$8:$G$8)+DCF!$G$5*(1+C$5)/($A11-C$5)/(1+$A11)^(DCF!$B$6+5))+DCF!$B$31+DCF!$B$32)/DCF!$B$34</f>
        <v>72.7058128994299</v>
      </c>
      <c r="D11" s="31" t="n">
        <f aca="false">((SUMPRODUCT(DCF!$B$7:$G$7/(1+$A11)^DCF!$B$8:$G$8)+DCF!$G$5*(1+D$5)/($A11-D$5)/(1+$A11)^(DCF!$B$6+5))+DCF!$B$31+DCF!$B$32)/DCF!$B$34</f>
        <v>77.4394129438948</v>
      </c>
      <c r="E11" s="31" t="n">
        <f aca="false">((SUMPRODUCT(DCF!$B$7:$G$7/(1+$A11)^DCF!$B$8:$G$8)+DCF!$G$5*(1+E$5)/($A11-E$5)/(1+$A11)^(DCF!$B$6+5))+DCF!$B$31+DCF!$B$32)/DCF!$B$34</f>
        <v>82.8492415661403</v>
      </c>
      <c r="F11" s="31" t="n">
        <f aca="false">((SUMPRODUCT(DCF!$B$7:$G$7/(1+$A11)^DCF!$B$8:$G$8)+DCF!$G$5*(1+F$5)/($A11-F$5)/(1+$A11)^(DCF!$B$6+5))+DCF!$B$31+DCF!$B$32)/DCF!$B$34</f>
        <v>89.0913515148852</v>
      </c>
    </row>
    <row r="12" customFormat="false" ht="15" hidden="false" customHeight="false" outlineLevel="0" collapsed="false">
      <c r="A12" s="12" t="n">
        <v>0.1</v>
      </c>
      <c r="B12" s="31" t="n">
        <f aca="false">((SUMPRODUCT(DCF!$B$7:$G$7/(1+$A12)^DCF!$B$8:$G$8)+DCF!$G$5*(1+B$5)/($A12-B$5)/(1+$A12)^(DCF!$B$6+5))+DCF!$B$31+DCF!$B$32)/DCF!$B$34</f>
        <v>63.0929960638154</v>
      </c>
      <c r="C12" s="31" t="n">
        <f aca="false">((SUMPRODUCT(DCF!$B$7:$G$7/(1+$A12)^DCF!$B$8:$G$8)+DCF!$G$5*(1+C$5)/($A12-C$5)/(1+$A12)^(DCF!$B$6+5))+DCF!$B$31+DCF!$B$32)/DCF!$B$34</f>
        <v>66.7230013679735</v>
      </c>
      <c r="D12" s="31" t="n">
        <f aca="false">((SUMPRODUCT(DCF!$B$7:$G$7/(1+$A12)^DCF!$B$8:$G$8)+DCF!$G$5*(1+D$5)/($A12-D$5)/(1+$A12)^(DCF!$B$6+5))+DCF!$B$31+DCF!$B$32)/DCF!$B$34</f>
        <v>70.8067573351513</v>
      </c>
      <c r="E12" s="31" t="n">
        <f aca="false">((SUMPRODUCT(DCF!$B$7:$G$7/(1+$A12)^DCF!$B$8:$G$8)+DCF!$G$5*(1+E$5)/($A12-E$5)/(1+$A12)^(DCF!$B$6+5))+DCF!$B$31+DCF!$B$32)/DCF!$B$34</f>
        <v>75.4350140979528</v>
      </c>
      <c r="F12" s="31" t="n">
        <f aca="false">((SUMPRODUCT(DCF!$B$7:$G$7/(1+$A12)^DCF!$B$8:$G$8)+DCF!$G$5*(1+F$5)/($A12-F$5)/(1+$A12)^(DCF!$B$6+5))+DCF!$B$31+DCF!$B$32)/DCF!$B$34</f>
        <v>80.7244503982974</v>
      </c>
    </row>
    <row r="15" customFormat="false" ht="15" hidden="false" customHeight="false" outlineLevel="0" collapsed="false">
      <c r="A15" s="4" t="s">
        <v>212</v>
      </c>
    </row>
    <row r="16" customFormat="false" ht="15" hidden="false" customHeight="false" outlineLevel="0" collapsed="false">
      <c r="A16" s="4" t="s">
        <v>213</v>
      </c>
      <c r="B16" s="16" t="n">
        <v>8</v>
      </c>
      <c r="C16" s="16" t="n">
        <v>9</v>
      </c>
      <c r="D16" s="16" t="n">
        <v>10</v>
      </c>
      <c r="E16" s="16" t="n">
        <v>11</v>
      </c>
      <c r="F16" s="16" t="n">
        <v>12</v>
      </c>
    </row>
    <row r="17" customFormat="false" ht="15" hidden="false" customHeight="false" outlineLevel="0" collapsed="false">
      <c r="A17" s="12" t="n">
        <v>0.07</v>
      </c>
      <c r="B17" s="31" t="n">
        <f aca="false">((SUMPRODUCT(DCF!$B$7:$G$7/(1+$A17)^DCF!$B$8:$G$8)+B$16*Forecast!$G$13/(1+$A17)^(DCF!$B$6+5))+DCF!$B$31+DCF!$B$32)/DCF!$B$34</f>
        <v>107.295466914325</v>
      </c>
      <c r="C17" s="31" t="n">
        <f aca="false">((SUMPRODUCT(DCF!$B$7:$G$7/(1+$A17)^DCF!$B$8:$G$8)+C$16*Forecast!$G$13/(1+$A17)^(DCF!$B$6+5))+DCF!$B$31+DCF!$B$32)/DCF!$B$34</f>
        <v>119.540233614244</v>
      </c>
      <c r="D17" s="31" t="n">
        <f aca="false">((SUMPRODUCT(DCF!$B$7:$G$7/(1+$A17)^DCF!$B$8:$G$8)+D$16*Forecast!$G$13/(1+$A17)^(DCF!$B$6+5))+DCF!$B$31+DCF!$B$32)/DCF!$B$34</f>
        <v>131.785000314164</v>
      </c>
      <c r="E17" s="31" t="n">
        <f aca="false">((SUMPRODUCT(DCF!$B$7:$G$7/(1+$A17)^DCF!$B$8:$G$8)+E$16*Forecast!$G$13/(1+$A17)^(DCF!$B$6+5))+DCF!$B$31+DCF!$B$32)/DCF!$B$34</f>
        <v>144.029767014083</v>
      </c>
      <c r="F17" s="31" t="n">
        <f aca="false">((SUMPRODUCT(DCF!$B$7:$G$7/(1+$A17)^DCF!$B$8:$G$8)+F$16*Forecast!$G$13/(1+$A17)^(DCF!$B$6+5))+DCF!$B$31+DCF!$B$32)/DCF!$B$34</f>
        <v>156.274533714003</v>
      </c>
    </row>
    <row r="18" customFormat="false" ht="15" hidden="false" customHeight="false" outlineLevel="0" collapsed="false">
      <c r="A18" s="12" t="n">
        <v>0.075</v>
      </c>
      <c r="B18" s="31" t="n">
        <f aca="false">((SUMPRODUCT(DCF!$B$7:$G$7/(1+$A18)^DCF!$B$8:$G$8)+B$16*Forecast!$G$13/(1+$A18)^(DCF!$B$6+5))+DCF!$B$31+DCF!$B$32)/DCF!$B$34</f>
        <v>104.107866218121</v>
      </c>
      <c r="C18" s="31" t="n">
        <f aca="false">((SUMPRODUCT(DCF!$B$7:$G$7/(1+$A18)^DCF!$B$8:$G$8)+C$16*Forecast!$G$13/(1+$A18)^(DCF!$B$6+5))+DCF!$B$31+DCF!$B$32)/DCF!$B$34</f>
        <v>116.018198467995</v>
      </c>
      <c r="D18" s="31" t="n">
        <f aca="false">((SUMPRODUCT(DCF!$B$7:$G$7/(1+$A18)^DCF!$B$8:$G$8)+D$16*Forecast!$G$13/(1+$A18)^(DCF!$B$6+5))+DCF!$B$31+DCF!$B$32)/DCF!$B$34</f>
        <v>127.928530717869</v>
      </c>
      <c r="E18" s="31" t="n">
        <f aca="false">((SUMPRODUCT(DCF!$B$7:$G$7/(1+$A18)^DCF!$B$8:$G$8)+E$16*Forecast!$G$13/(1+$A18)^(DCF!$B$6+5))+DCF!$B$31+DCF!$B$32)/DCF!$B$34</f>
        <v>139.838862967743</v>
      </c>
      <c r="F18" s="31" t="n">
        <f aca="false">((SUMPRODUCT(DCF!$B$7:$G$7/(1+$A18)^DCF!$B$8:$G$8)+F$16*Forecast!$G$13/(1+$A18)^(DCF!$B$6+5))+DCF!$B$31+DCF!$B$32)/DCF!$B$34</f>
        <v>151.749195217617</v>
      </c>
    </row>
    <row r="19" customFormat="false" ht="15" hidden="false" customHeight="false" outlineLevel="0" collapsed="false">
      <c r="A19" s="12" t="n">
        <v>0.08</v>
      </c>
      <c r="B19" s="31" t="n">
        <f aca="false">((SUMPRODUCT(DCF!$B$7:$G$7/(1+$A19)^DCF!$B$8:$G$8)+B$16*Forecast!$G$13/(1+$A19)^(DCF!$B$6+5))+DCF!$B$31+DCF!$B$32)/DCF!$B$34</f>
        <v>101.01683926455</v>
      </c>
      <c r="C19" s="31" t="n">
        <f aca="false">((SUMPRODUCT(DCF!$B$7:$G$7/(1+$A19)^DCF!$B$8:$G$8)+C$16*Forecast!$G$13/(1+$A19)^(DCF!$B$6+5))+DCF!$B$31+DCF!$B$32)/DCF!$B$34</f>
        <v>112.603360095375</v>
      </c>
      <c r="D19" s="31" t="n">
        <f aca="false">((SUMPRODUCT(DCF!$B$7:$G$7/(1+$A19)^DCF!$B$8:$G$8)+D$16*Forecast!$G$13/(1+$A19)^(DCF!$B$6+5))+DCF!$B$31+DCF!$B$32)/DCF!$B$34</f>
        <v>124.189880926201</v>
      </c>
      <c r="E19" s="31" t="n">
        <f aca="false">((SUMPRODUCT(DCF!$B$7:$G$7/(1+$A19)^DCF!$B$8:$G$8)+E$16*Forecast!$G$13/(1+$A19)^(DCF!$B$6+5))+DCF!$B$31+DCF!$B$32)/DCF!$B$34</f>
        <v>135.776401757027</v>
      </c>
      <c r="F19" s="31" t="n">
        <f aca="false">((SUMPRODUCT(DCF!$B$7:$G$7/(1+$A19)^DCF!$B$8:$G$8)+F$16*Forecast!$G$13/(1+$A19)^(DCF!$B$6+5))+DCF!$B$31+DCF!$B$32)/DCF!$B$34</f>
        <v>147.362922587852</v>
      </c>
    </row>
    <row r="20" customFormat="false" ht="15" hidden="false" customHeight="false" outlineLevel="0" collapsed="false">
      <c r="A20" s="12" t="n">
        <v>0.085</v>
      </c>
      <c r="B20" s="31" t="n">
        <f aca="false">((SUMPRODUCT(DCF!$B$7:$G$7/(1+$A20)^DCF!$B$8:$G$8)+B$16*Forecast!$G$13/(1+$A20)^(DCF!$B$6+5))+DCF!$B$31+DCF!$B$32)/DCF!$B$34</f>
        <v>98.0189776877234</v>
      </c>
      <c r="C20" s="31" t="n">
        <f aca="false">((SUMPRODUCT(DCF!$B$7:$G$7/(1+$A20)^DCF!$B$8:$G$8)+C$16*Forecast!$G$13/(1+$A20)^(DCF!$B$6+5))+DCF!$B$31+DCF!$B$32)/DCF!$B$34</f>
        <v>109.291925839692</v>
      </c>
      <c r="D20" s="31" t="n">
        <f aca="false">((SUMPRODUCT(DCF!$B$7:$G$7/(1+$A20)^DCF!$B$8:$G$8)+D$16*Forecast!$G$13/(1+$A20)^(DCF!$B$6+5))+DCF!$B$31+DCF!$B$32)/DCF!$B$34</f>
        <v>120.564873991661</v>
      </c>
      <c r="E20" s="31" t="n">
        <f aca="false">((SUMPRODUCT(DCF!$B$7:$G$7/(1+$A20)^DCF!$B$8:$G$8)+E$16*Forecast!$G$13/(1+$A20)^(DCF!$B$6+5))+DCF!$B$31+DCF!$B$32)/DCF!$B$34</f>
        <v>131.837822143629</v>
      </c>
      <c r="F20" s="31" t="n">
        <f aca="false">((SUMPRODUCT(DCF!$B$7:$G$7/(1+$A20)^DCF!$B$8:$G$8)+F$16*Forecast!$G$13/(1+$A20)^(DCF!$B$6+5))+DCF!$B$31+DCF!$B$32)/DCF!$B$34</f>
        <v>143.110770295598</v>
      </c>
    </row>
    <row r="21" customFormat="false" ht="15" hidden="false" customHeight="false" outlineLevel="0" collapsed="false">
      <c r="A21" s="12" t="n">
        <v>0.09</v>
      </c>
      <c r="B21" s="31" t="n">
        <f aca="false">((SUMPRODUCT(DCF!$B$7:$G$7/(1+$A21)^DCF!$B$8:$G$8)+B$16*Forecast!$G$13/(1+$A21)^(DCF!$B$6+5))+DCF!$B$31+DCF!$B$32)/DCF!$B$34</f>
        <v>95.1110092125355</v>
      </c>
      <c r="C21" s="31" t="n">
        <f aca="false">((SUMPRODUCT(DCF!$B$7:$G$7/(1+$A21)^DCF!$B$8:$G$8)+C$16*Forecast!$G$13/(1+$A21)^(DCF!$B$6+5))+DCF!$B$31+DCF!$B$32)/DCF!$B$34</f>
        <v>106.080254716584</v>
      </c>
      <c r="D21" s="31" t="n">
        <f aca="false">((SUMPRODUCT(DCF!$B$7:$G$7/(1+$A21)^DCF!$B$8:$G$8)+D$16*Forecast!$G$13/(1+$A21)^(DCF!$B$6+5))+DCF!$B$31+DCF!$B$32)/DCF!$B$34</f>
        <v>117.049500220633</v>
      </c>
      <c r="E21" s="31" t="n">
        <f aca="false">((SUMPRODUCT(DCF!$B$7:$G$7/(1+$A21)^DCF!$B$8:$G$8)+E$16*Forecast!$G$13/(1+$A21)^(DCF!$B$6+5))+DCF!$B$31+DCF!$B$32)/DCF!$B$34</f>
        <v>128.018745724681</v>
      </c>
      <c r="F21" s="31" t="n">
        <f aca="false">((SUMPRODUCT(DCF!$B$7:$G$7/(1+$A21)^DCF!$B$8:$G$8)+F$16*Forecast!$G$13/(1+$A21)^(DCF!$B$6+5))+DCF!$B$31+DCF!$B$32)/DCF!$B$34</f>
        <v>138.98799122873</v>
      </c>
    </row>
    <row r="22" customFormat="false" ht="15" hidden="false" customHeight="false" outlineLevel="0" collapsed="false">
      <c r="A22" s="12" t="n">
        <v>0.095</v>
      </c>
      <c r="B22" s="31" t="n">
        <f aca="false">((SUMPRODUCT(DCF!$B$7:$G$7/(1+$A22)^DCF!$B$8:$G$8)+B$16*Forecast!$G$13/(1+$A22)^(DCF!$B$6+5))+DCF!$B$31+DCF!$B$32)/DCF!$B$34</f>
        <v>92.2897916112862</v>
      </c>
      <c r="C22" s="31" t="n">
        <f aca="false">((SUMPRODUCT(DCF!$B$7:$G$7/(1+$A22)^DCF!$B$8:$G$8)+C$16*Forecast!$G$13/(1+$A22)^(DCF!$B$6+5))+DCF!$B$31+DCF!$B$32)/DCF!$B$34</f>
        <v>102.964850671384</v>
      </c>
      <c r="D22" s="31" t="n">
        <f aca="false">((SUMPRODUCT(DCF!$B$7:$G$7/(1+$A22)^DCF!$B$8:$G$8)+D$16*Forecast!$G$13/(1+$A22)^(DCF!$B$6+5))+DCF!$B$31+DCF!$B$32)/DCF!$B$34</f>
        <v>113.639909731482</v>
      </c>
      <c r="E22" s="31" t="n">
        <f aca="false">((SUMPRODUCT(DCF!$B$7:$G$7/(1+$A22)^DCF!$B$8:$G$8)+E$16*Forecast!$G$13/(1+$A22)^(DCF!$B$6+5))+DCF!$B$31+DCF!$B$32)/DCF!$B$34</f>
        <v>124.314968791581</v>
      </c>
      <c r="F22" s="31" t="n">
        <f aca="false">((SUMPRODUCT(DCF!$B$7:$G$7/(1+$A22)^DCF!$B$8:$G$8)+F$16*Forecast!$G$13/(1+$A22)^(DCF!$B$6+5))+DCF!$B$31+DCF!$B$32)/DCF!$B$34</f>
        <v>134.990027851679</v>
      </c>
    </row>
    <row r="23" customFormat="false" ht="15" hidden="false" customHeight="false" outlineLevel="0" collapsed="false">
      <c r="A23" s="12" t="n">
        <v>0.1</v>
      </c>
      <c r="B23" s="31" t="n">
        <f aca="false">((SUMPRODUCT(DCF!$B$7:$G$7/(1+$A23)^DCF!$B$8:$G$8)+B$16*Forecast!$G$13/(1+$A23)^(DCF!$B$6+5))+DCF!$B$31+DCF!$B$32)/DCF!$B$34</f>
        <v>89.5523069551729</v>
      </c>
      <c r="C23" s="31" t="n">
        <f aca="false">((SUMPRODUCT(DCF!$B$7:$G$7/(1+$A23)^DCF!$B$8:$G$8)+C$16*Forecast!$G$13/(1+$A23)^(DCF!$B$6+5))+DCF!$B$31+DCF!$B$32)/DCF!$B$34</f>
        <v>99.9423561657282</v>
      </c>
      <c r="D23" s="31" t="n">
        <f aca="false">((SUMPRODUCT(DCF!$B$7:$G$7/(1+$A23)^DCF!$B$8:$G$8)+D$16*Forecast!$G$13/(1+$A23)^(DCF!$B$6+5))+DCF!$B$31+DCF!$B$32)/DCF!$B$34</f>
        <v>110.332405376284</v>
      </c>
      <c r="E23" s="31" t="n">
        <f aca="false">((SUMPRODUCT(DCF!$B$7:$G$7/(1+$A23)^DCF!$B$8:$G$8)+E$16*Forecast!$G$13/(1+$A23)^(DCF!$B$6+5))+DCF!$B$31+DCF!$B$32)/DCF!$B$34</f>
        <v>120.722454586839</v>
      </c>
      <c r="F23" s="31" t="n">
        <f aca="false">((SUMPRODUCT(DCF!$B$7:$G$7/(1+$A23)^DCF!$B$8:$G$8)+F$16*Forecast!$G$13/(1+$A23)^(DCF!$B$6+5))+DCF!$B$31+DCF!$B$32)/DCF!$B$34</f>
        <v>131.112503797394</v>
      </c>
    </row>
    <row r="26" customFormat="false" ht="15" hidden="false" customHeight="false" outlineLevel="0" collapsed="false">
      <c r="A26" s="4" t="s">
        <v>214</v>
      </c>
    </row>
    <row r="27" customFormat="false" ht="15" hidden="false" customHeight="false" outlineLevel="0" collapsed="false">
      <c r="A27" s="4" t="s">
        <v>215</v>
      </c>
      <c r="B27" s="4" t="s">
        <v>216</v>
      </c>
      <c r="C27" s="4" t="s">
        <v>217</v>
      </c>
      <c r="D27" s="4" t="s">
        <v>218</v>
      </c>
    </row>
    <row r="28" customFormat="false" ht="15" hidden="false" customHeight="false" outlineLevel="0" collapsed="false">
      <c r="A28" s="5" t="s">
        <v>219</v>
      </c>
      <c r="B28" s="9" t="n">
        <v>31606.9429049136</v>
      </c>
      <c r="C28" s="15" t="n">
        <v>80.5231116404727</v>
      </c>
      <c r="D28" s="15" t="n">
        <v>115.070110388138</v>
      </c>
    </row>
    <row r="29" customFormat="false" ht="15" hidden="false" customHeight="false" outlineLevel="0" collapsed="false">
      <c r="A29" s="5" t="s">
        <v>220</v>
      </c>
      <c r="B29" s="9" t="n">
        <v>22513.4014812</v>
      </c>
      <c r="C29" s="15" t="n">
        <v>33.7532502309699</v>
      </c>
      <c r="D29" s="15" t="n">
        <v>71.8879329159721</v>
      </c>
    </row>
    <row r="30" customFormat="false" ht="15" hidden="false" customHeight="false" outlineLevel="0" collapsed="false">
      <c r="A30" s="5" t="s">
        <v>221</v>
      </c>
      <c r="B30" s="9" t="n">
        <v>36653.019950456</v>
      </c>
      <c r="C30" s="15" t="n">
        <v>106.415370176051</v>
      </c>
      <c r="D30" s="15" t="n">
        <v>138.880030067677</v>
      </c>
    </row>
    <row r="32" customFormat="false" ht="15" hidden="false" customHeight="false" outlineLevel="0" collapsed="false">
      <c r="A32" s="5" t="s">
        <v>222</v>
      </c>
      <c r="B32" s="30" t="n">
        <f aca="false">Inputs!$B$74</f>
        <v>110.16</v>
      </c>
    </row>
    <row r="33" customFormat="false" ht="15" hidden="false" customHeight="false" outlineLevel="0" collapsed="false">
      <c r="A33" s="2" t="s">
        <v>223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0"/>
  </cols>
  <sheetData>
    <row r="1" customFormat="false" ht="17.35" hidden="false" customHeight="false" outlineLevel="0" collapsed="false">
      <c r="A1" s="1" t="s">
        <v>224</v>
      </c>
    </row>
    <row r="2" customFormat="false" ht="15" hidden="false" customHeight="false" outlineLevel="0" collapsed="false">
      <c r="A2" s="2" t="s">
        <v>1</v>
      </c>
    </row>
    <row r="4" customFormat="false" ht="15" hidden="false" customHeight="false" outlineLevel="0" collapsed="false">
      <c r="A4" s="7" t="s">
        <v>225</v>
      </c>
      <c r="B4" s="8" t="s">
        <v>13</v>
      </c>
    </row>
    <row r="5" customFormat="false" ht="15" hidden="false" customHeight="false" outlineLevel="0" collapsed="false">
      <c r="A5" s="5" t="n">
        <v>1</v>
      </c>
      <c r="B5" s="5" t="s">
        <v>226</v>
      </c>
    </row>
    <row r="6" customFormat="false" ht="15" hidden="false" customHeight="false" outlineLevel="0" collapsed="false">
      <c r="A6" s="5" t="n">
        <v>2</v>
      </c>
      <c r="B6" s="5" t="s">
        <v>227</v>
      </c>
    </row>
    <row r="7" customFormat="false" ht="15" hidden="false" customHeight="false" outlineLevel="0" collapsed="false">
      <c r="A7" s="5" t="n">
        <v>3</v>
      </c>
      <c r="B7" s="5" t="s">
        <v>228</v>
      </c>
    </row>
    <row r="8" customFormat="false" ht="15" hidden="false" customHeight="false" outlineLevel="0" collapsed="false">
      <c r="A8" s="5" t="n">
        <v>4</v>
      </c>
      <c r="B8" s="5" t="s">
        <v>229</v>
      </c>
    </row>
    <row r="9" customFormat="false" ht="15" hidden="false" customHeight="false" outlineLevel="0" collapsed="false">
      <c r="A9" s="5" t="n">
        <v>5</v>
      </c>
      <c r="B9" s="5" t="s">
        <v>230</v>
      </c>
    </row>
    <row r="10" customFormat="false" ht="15" hidden="false" customHeight="false" outlineLevel="0" collapsed="false">
      <c r="A10" s="5" t="n">
        <v>6</v>
      </c>
      <c r="B10" s="5" t="s">
        <v>231</v>
      </c>
    </row>
    <row r="11" customFormat="false" ht="15" hidden="false" customHeight="false" outlineLevel="0" collapsed="false">
      <c r="A11" s="5" t="n">
        <v>7</v>
      </c>
      <c r="B11" s="5" t="s">
        <v>232</v>
      </c>
    </row>
    <row r="12" customFormat="false" ht="15" hidden="false" customHeight="false" outlineLevel="0" collapsed="false">
      <c r="A12" s="5" t="n">
        <v>8</v>
      </c>
      <c r="B12" s="5" t="s">
        <v>233</v>
      </c>
    </row>
    <row r="13" customFormat="false" ht="15" hidden="false" customHeight="false" outlineLevel="0" collapsed="false">
      <c r="A13" s="5" t="n">
        <v>9</v>
      </c>
      <c r="B13" s="5" t="s">
        <v>234</v>
      </c>
    </row>
    <row r="14" customFormat="false" ht="15" hidden="false" customHeight="false" outlineLevel="0" collapsed="false">
      <c r="A14" s="5" t="n">
        <v>10</v>
      </c>
      <c r="B14" s="5" t="s">
        <v>235</v>
      </c>
    </row>
    <row r="15" customFormat="false" ht="15" hidden="false" customHeight="false" outlineLevel="0" collapsed="false">
      <c r="A15" s="5" t="n">
        <v>11</v>
      </c>
      <c r="B15" s="5" t="s">
        <v>236</v>
      </c>
    </row>
    <row r="16" customFormat="false" ht="15" hidden="false" customHeight="false" outlineLevel="0" collapsed="false">
      <c r="A16" s="5" t="n">
        <v>12</v>
      </c>
      <c r="B16" s="5" t="s">
        <v>237</v>
      </c>
    </row>
    <row r="18" customFormat="false" ht="15" hidden="false" customHeight="false" outlineLevel="0" collapsed="false">
      <c r="B18" s="2" t="s">
        <v>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2026-10-25T00:49:12Z</dcterms:created>
  <dc:creator>openpyxl</dc:creator>
  <dc:description/>
  <dc:language>en-US</dc:language>
  <cp:lastModifiedBy/>
  <dcterms:modified xsi:type="dcterms:W3CDTF">2026-10-25T00:49:12Z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